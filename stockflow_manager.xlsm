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3.xml" ContentType="application/vnd.openxmlformats-officedocument.spreadsheetml.table+xml"/>
  <Override PartName="/xl/pivotTables/pivotTable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6.xml" ContentType="application/vnd.openxmlformats-officedocument.spreadsheetml.table+xml"/>
  <Override PartName="/xl/pivotTables/pivotTable5.xml" ContentType="application/vnd.openxmlformats-officedocument.spreadsheetml.pivotTable+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ISMAIL\Desktop\stockflow_manager\"/>
    </mc:Choice>
  </mc:AlternateContent>
  <xr:revisionPtr revIDLastSave="0" documentId="13_ncr:1_{5B8CF8AD-7EE5-47C2-836C-969C51F0F484}" xr6:coauthVersionLast="47" xr6:coauthVersionMax="47" xr10:uidLastSave="{00000000-0000-0000-0000-000000000000}"/>
  <bookViews>
    <workbookView xWindow="-120" yWindow="-120" windowWidth="20730" windowHeight="11760" tabRatio="957" xr2:uid="{7C3B0497-FD9B-4987-A409-9C9ACDDA9D95}"/>
  </bookViews>
  <sheets>
    <sheet name="Accueil" sheetId="1" r:id="rId1"/>
    <sheet name="Dashboard" sheetId="9" r:id="rId2"/>
    <sheet name="PVT_Article" sheetId="8" state="hidden" r:id="rId3"/>
    <sheet name="Donnees_Vente_multiple" sheetId="10" state="hidden" r:id="rId4"/>
    <sheet name="Donnees_articles" sheetId="3" r:id="rId5"/>
    <sheet name="Parametres" sheetId="5" state="hidden" r:id="rId6"/>
    <sheet name="PVT_Achat" sheetId="6" state="hidden" r:id="rId7"/>
    <sheet name="Donnees_Achat" sheetId="2" r:id="rId8"/>
    <sheet name="TCDF_vente" sheetId="18" state="hidden" r:id="rId9"/>
    <sheet name="Client_fournisseur" sheetId="15" r:id="rId10"/>
    <sheet name="Donnees_vente" sheetId="4" r:id="rId11"/>
    <sheet name="PVT_Vente" sheetId="7" state="hidden" r:id="rId12"/>
    <sheet name="Devis" sheetId="17" r:id="rId13"/>
    <sheet name="Liste_facture" sheetId="14" r:id="rId14"/>
    <sheet name="Etat_facture" sheetId="12" state="hidden" r:id="rId15"/>
  </sheets>
  <functionGroups builtInGroupCount="19"/>
  <definedNames>
    <definedName name="Cal_Code_Produit">Parametres!$E$2</definedName>
    <definedName name="Cal_Qte_A_Modif">Parametres!$F$3</definedName>
    <definedName name="Cal_Qte_Stock">Parametres!$F$2</definedName>
    <definedName name="Cal_Qte_Stock_Modifie">Parametres!$F$4</definedName>
    <definedName name="Cal_Qte_Vente">Parametres!$G$2</definedName>
    <definedName name="Cal_Status">Parametres!$H$2</definedName>
    <definedName name="Cal_Status_Modif">Parametres!$H$4</definedName>
    <definedName name="Cal_Vente_Ou_Pas">Parametres!$I$2</definedName>
    <definedName name="Cal_Vente_Ou_Pas_Modif">Parametres!$I$4</definedName>
    <definedName name="Code_Produit">Donnees_Achat!#REF!</definedName>
    <definedName name="fact">Etat_facture!$C$6</definedName>
    <definedName name="Facture">Etat_facture!$C$6</definedName>
    <definedName name="Facture_selectionnee">Liste_facture!$E$10</definedName>
    <definedName name="montant_1">Parametres!$B$3</definedName>
    <definedName name="montant_a">Parametres!$B$3</definedName>
    <definedName name="_xlnm.Print_Area" localSheetId="14">Etat_facture!$A$1:$G$11</definedName>
    <definedName name="prix_1">Parametres!$B$1</definedName>
    <definedName name="prix_a">Parametres!$B$1</definedName>
    <definedName name="Produit">Donnees_Achat!#REF!</definedName>
    <definedName name="quantite_1">Parametres!$B$2</definedName>
    <definedName name="quantite_a">Parametres!$B$2</definedName>
    <definedName name="Slicer_Libelle_article">#N/A</definedName>
  </definedNames>
  <calcPr calcId="191029"/>
  <pivotCaches>
    <pivotCache cacheId="6" r:id="rId16"/>
    <pivotCache cacheId="10" r:id="rId17"/>
    <pivotCache cacheId="2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3" l="1"/>
  <c r="D8" i="3"/>
  <c r="H8" i="3"/>
  <c r="I8" i="3"/>
  <c r="J8" i="3" s="1"/>
  <c r="C7" i="3"/>
  <c r="D7" i="3"/>
  <c r="H7" i="3"/>
  <c r="I7" i="3"/>
  <c r="J7" i="3" s="1"/>
  <c r="C6" i="3"/>
  <c r="D6" i="3"/>
  <c r="H6" i="3"/>
  <c r="I6" i="3"/>
  <c r="J6" i="3" s="1"/>
  <c r="C5" i="3"/>
  <c r="D5" i="3"/>
  <c r="H5" i="3"/>
  <c r="I5" i="3"/>
  <c r="J5" i="3" s="1"/>
  <c r="C4" i="3"/>
  <c r="D4" i="3"/>
  <c r="H4" i="3"/>
  <c r="I4" i="3"/>
  <c r="J4" i="3" s="1"/>
  <c r="C3" i="3"/>
  <c r="D3" i="3"/>
  <c r="H3" i="3"/>
  <c r="I3" i="3"/>
  <c r="J3" i="3" s="1"/>
  <c r="C2" i="3"/>
  <c r="D2" i="3"/>
  <c r="H2" i="3"/>
  <c r="I2" i="3"/>
  <c r="J2" i="3" s="1"/>
  <c r="M10" i="1"/>
  <c r="H10" i="1"/>
  <c r="F3" i="12"/>
  <c r="F2" i="12"/>
  <c r="B3" i="5"/>
  <c r="E8" i="3" l="1"/>
  <c r="F8" i="3" s="1"/>
  <c r="E7" i="3"/>
  <c r="F7" i="3" s="1"/>
  <c r="E6" i="3"/>
  <c r="F6" i="3" s="1"/>
  <c r="E3" i="3"/>
  <c r="F3" i="3" s="1"/>
  <c r="E5" i="3"/>
  <c r="F5" i="3" s="1"/>
  <c r="E4" i="3"/>
  <c r="F4" i="3" s="1"/>
  <c r="E2" i="3"/>
  <c r="F2" i="3" s="1"/>
  <c r="R10" i="1"/>
  <c r="W10" i="1" s="1"/>
  <c r="F2" i="5" l="1"/>
  <c r="F4" i="5" s="1"/>
  <c r="H4" i="5" s="1"/>
  <c r="H2" i="5" l="1"/>
  <c r="I4" i="5" s="1"/>
  <c r="I2" i="5" l="1"/>
</calcChain>
</file>

<file path=xl/sharedStrings.xml><?xml version="1.0" encoding="utf-8"?>
<sst xmlns="http://schemas.openxmlformats.org/spreadsheetml/2006/main" count="190" uniqueCount="114">
  <si>
    <t>Code_article</t>
  </si>
  <si>
    <t>Libelle_article</t>
  </si>
  <si>
    <t>Quantite_totale_vente</t>
  </si>
  <si>
    <t>Quantite_totale_achat</t>
  </si>
  <si>
    <t>Prix_achat</t>
  </si>
  <si>
    <t>Prix_vente</t>
  </si>
  <si>
    <t>Quantite_vente</t>
  </si>
  <si>
    <t>Date</t>
  </si>
  <si>
    <t>Montant_vente</t>
  </si>
  <si>
    <t>Quantite_achat</t>
  </si>
  <si>
    <t>Montant_achat</t>
  </si>
  <si>
    <t>Quantite_stock</t>
  </si>
  <si>
    <t>Prix</t>
  </si>
  <si>
    <t>Quantite</t>
  </si>
  <si>
    <t>Montant</t>
  </si>
  <si>
    <t>Status</t>
  </si>
  <si>
    <t>Quantite en stock</t>
  </si>
  <si>
    <t>Vendre ou pas</t>
  </si>
  <si>
    <t>Code produit</t>
  </si>
  <si>
    <t>Quantite de vente</t>
  </si>
  <si>
    <t>Quantite a modifier</t>
  </si>
  <si>
    <t>Quantite stock modif</t>
  </si>
  <si>
    <t>APPLICATION DE GESTION DE STOCK</t>
  </si>
  <si>
    <t>Grand Total</t>
  </si>
  <si>
    <t>Quantite vendu</t>
  </si>
  <si>
    <t>Montant vente</t>
  </si>
  <si>
    <t>Quantite achatee</t>
  </si>
  <si>
    <t xml:space="preserve"> Montant achat</t>
  </si>
  <si>
    <t>Quantite totale  achatee</t>
  </si>
  <si>
    <t xml:space="preserve"> Quantite totale  vendu</t>
  </si>
  <si>
    <t>Article</t>
  </si>
  <si>
    <t>Facture</t>
  </si>
  <si>
    <t>Quantite totale</t>
  </si>
  <si>
    <t>Montant TTC</t>
  </si>
  <si>
    <t>Code de l'article</t>
  </si>
  <si>
    <t>Libelle de l'article</t>
  </si>
  <si>
    <t>Prix de vente</t>
  </si>
  <si>
    <t>Montant de  vente</t>
  </si>
  <si>
    <t>NOM DE L'ENTREPRISE</t>
  </si>
  <si>
    <t>Facture selectionnee</t>
  </si>
  <si>
    <t>Nom et prenom</t>
  </si>
  <si>
    <t>Contact</t>
  </si>
  <si>
    <t>Email</t>
  </si>
  <si>
    <t>Ville</t>
  </si>
  <si>
    <t>Adresse</t>
  </si>
  <si>
    <t>Type</t>
  </si>
  <si>
    <t>Fournisseur</t>
  </si>
  <si>
    <t>Client</t>
  </si>
  <si>
    <t>Date d'emission</t>
  </si>
  <si>
    <t>Status du devis</t>
  </si>
  <si>
    <t>Numero du devis</t>
  </si>
  <si>
    <t>Montant du devis</t>
  </si>
  <si>
    <t>Date de validation du devis</t>
  </si>
  <si>
    <t>Numero de commande</t>
  </si>
  <si>
    <t>Commentaire</t>
  </si>
  <si>
    <t>Valide</t>
  </si>
  <si>
    <t>Valeur du stock</t>
  </si>
  <si>
    <t>Chiffre d'affaire</t>
  </si>
  <si>
    <t>Depenses</t>
  </si>
  <si>
    <t>Benefices estimees</t>
  </si>
  <si>
    <t>Row Labels</t>
  </si>
  <si>
    <t>Sum of Montant_vente</t>
  </si>
  <si>
    <t>Chaise</t>
  </si>
  <si>
    <t>C00001</t>
  </si>
  <si>
    <t>Lit</t>
  </si>
  <si>
    <t>C00002</t>
  </si>
  <si>
    <t>TV</t>
  </si>
  <si>
    <t>C00003</t>
  </si>
  <si>
    <t>Porte</t>
  </si>
  <si>
    <t>C00004</t>
  </si>
  <si>
    <t>SmartPhone</t>
  </si>
  <si>
    <t>C00005</t>
  </si>
  <si>
    <t>Chocolat</t>
  </si>
  <si>
    <t>C00006</t>
  </si>
  <si>
    <t>Robe</t>
  </si>
  <si>
    <t>C00007</t>
  </si>
  <si>
    <t>Ali khayrouni</t>
  </si>
  <si>
    <t>ali@gmail.com</t>
  </si>
  <si>
    <t>Casa</t>
  </si>
  <si>
    <t>rue 1</t>
  </si>
  <si>
    <t>Ahmed</t>
  </si>
  <si>
    <t>ahmed@gmail.com</t>
  </si>
  <si>
    <t>Fes</t>
  </si>
  <si>
    <t>Fes , rue 2</t>
  </si>
  <si>
    <t>Lamyae zaidi</t>
  </si>
  <si>
    <t>lamyae@gmail.com</t>
  </si>
  <si>
    <t>Rabat</t>
  </si>
  <si>
    <t>rabat agdal</t>
  </si>
  <si>
    <t>Soumaya ouali</t>
  </si>
  <si>
    <t>soumaya@gmail.com</t>
  </si>
  <si>
    <t>Meknes</t>
  </si>
  <si>
    <t>marjane market</t>
  </si>
  <si>
    <t>Yasser roussi</t>
  </si>
  <si>
    <t>yasser@gmail.com</t>
  </si>
  <si>
    <t>Beni mellal</t>
  </si>
  <si>
    <t>quartier charaf</t>
  </si>
  <si>
    <t>Houda amrani</t>
  </si>
  <si>
    <t>houda@gmail.com</t>
  </si>
  <si>
    <t>Nador</t>
  </si>
  <si>
    <t>jerada</t>
  </si>
  <si>
    <t>Wissal Elouafy</t>
  </si>
  <si>
    <t>wissal@gmail.com</t>
  </si>
  <si>
    <t>Ghita district</t>
  </si>
  <si>
    <t>Assmae halimi</t>
  </si>
  <si>
    <t>asmae@gmail.com</t>
  </si>
  <si>
    <t>Nakhil</t>
  </si>
  <si>
    <t>Fact11/29/2024A7767</t>
  </si>
  <si>
    <t>Fact11/29/2024A662</t>
  </si>
  <si>
    <t>devis1</t>
  </si>
  <si>
    <t>En attente de validation</t>
  </si>
  <si>
    <t>cmd001</t>
  </si>
  <si>
    <t>devis2</t>
  </si>
  <si>
    <t>14/02/2023</t>
  </si>
  <si>
    <t>cmd004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</si>
</sst>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AD]\ #,##0"/>
  </numFmts>
  <fonts count="25" x14ac:knownFonts="1">
    <font>
      <sz val="11"/>
      <color theme="1"/>
      <name val="Calibri"/>
      <family val="2"/>
      <scheme val="minor"/>
    </font>
    <font>
      <sz val="12"/>
      <color theme="1"/>
      <name val="Arial Narrow"/>
      <family val="2"/>
    </font>
    <font>
      <sz val="11"/>
      <color theme="4" tint="-0.249977111117893"/>
      <name val="Calibri"/>
      <family val="2"/>
      <scheme val="minor"/>
    </font>
    <font>
      <sz val="14"/>
      <color theme="1"/>
      <name val="Calibri"/>
      <family val="2"/>
      <scheme val="minor"/>
    </font>
    <font>
      <sz val="26"/>
      <color theme="1"/>
      <name val="Roboto"/>
    </font>
    <font>
      <b/>
      <sz val="26"/>
      <color theme="0"/>
      <name val="Roboto"/>
    </font>
    <font>
      <b/>
      <sz val="12"/>
      <color theme="7" tint="-0.249977111117893"/>
      <name val="Arial Narrow"/>
      <family val="2"/>
    </font>
    <font>
      <b/>
      <sz val="16"/>
      <color theme="8" tint="0.39997558519241921"/>
      <name val="Calibri"/>
      <family val="2"/>
      <scheme val="minor"/>
    </font>
    <font>
      <b/>
      <sz val="20"/>
      <color rgb="FFFFCC99"/>
      <name val="Roboto"/>
    </font>
    <font>
      <b/>
      <sz val="20"/>
      <color rgb="FF339966"/>
      <name val="Roboto"/>
    </font>
    <font>
      <b/>
      <sz val="20"/>
      <color rgb="FF99CCFF"/>
      <name val="Roboto"/>
    </font>
    <font>
      <b/>
      <sz val="20"/>
      <color rgb="FFCCCCFF"/>
      <name val="Roboto"/>
    </font>
    <font>
      <b/>
      <sz val="20"/>
      <color rgb="FF800080"/>
      <name val="Roboto"/>
    </font>
    <font>
      <b/>
      <sz val="20"/>
      <color rgb="FFFF00FF"/>
      <name val="Roboto"/>
    </font>
    <font>
      <b/>
      <sz val="20"/>
      <color rgb="FF0000FF"/>
      <name val="Roboto"/>
    </font>
    <font>
      <b/>
      <sz val="24"/>
      <color rgb="FF0070C0"/>
      <name val="Roboto"/>
    </font>
    <font>
      <sz val="20"/>
      <color theme="1"/>
      <name val="Calibri"/>
      <family val="2"/>
      <scheme val="minor"/>
    </font>
    <font>
      <sz val="26"/>
      <color rgb="FFFF0000"/>
      <name val="Calibri"/>
      <family val="2"/>
      <scheme val="minor"/>
    </font>
    <font>
      <sz val="28"/>
      <color theme="1"/>
      <name val="Calibri"/>
      <family val="2"/>
      <scheme val="minor"/>
    </font>
    <font>
      <sz val="20"/>
      <color theme="5" tint="0.59999389629810485"/>
      <name val="Calibri"/>
      <family val="2"/>
      <scheme val="minor"/>
    </font>
    <font>
      <b/>
      <sz val="20"/>
      <color theme="1"/>
      <name val="Calibri"/>
      <family val="2"/>
      <scheme val="minor"/>
    </font>
    <font>
      <sz val="26"/>
      <color theme="1"/>
      <name val="Calibri"/>
      <family val="2"/>
      <scheme val="minor"/>
    </font>
    <font>
      <sz val="26"/>
      <color rgb="FF00B050"/>
      <name val="Calibri"/>
      <family val="2"/>
      <scheme val="minor"/>
    </font>
    <font>
      <sz val="26"/>
      <color rgb="FF00B0F0"/>
      <name val="Calibri"/>
      <family val="2"/>
      <scheme val="minor"/>
    </font>
    <font>
      <b/>
      <sz val="12"/>
      <color rgb="FF000000"/>
      <name val="Calibri"/>
      <family val="2"/>
    </font>
  </fonts>
  <fills count="13">
    <fill>
      <patternFill patternType="none"/>
    </fill>
    <fill>
      <patternFill patternType="gray125"/>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theme="5" tint="0.39997558519241921"/>
        <bgColor indexed="64"/>
      </patternFill>
    </fill>
    <fill>
      <patternFill patternType="solid">
        <fgColor theme="7"/>
        <bgColor indexed="64"/>
      </patternFill>
    </fill>
    <fill>
      <patternFill patternType="solid">
        <fgColor rgb="FFFFC00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theme="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72">
    <xf numFmtId="0" fontId="0" fillId="0" borderId="0" xfId="0"/>
    <xf numFmtId="0" fontId="1" fillId="0" borderId="0" xfId="0" applyFont="1"/>
    <xf numFmtId="0" fontId="2" fillId="2" borderId="0" xfId="0" applyFont="1" applyFill="1"/>
    <xf numFmtId="0" fontId="3" fillId="0" borderId="1" xfId="0" applyFont="1" applyBorder="1"/>
    <xf numFmtId="14" fontId="1" fillId="0" borderId="0" xfId="0" applyNumberFormat="1" applyFont="1"/>
    <xf numFmtId="0" fontId="0" fillId="3" borderId="1" xfId="0" applyFill="1" applyBorder="1"/>
    <xf numFmtId="0" fontId="0" fillId="0" borderId="0" xfId="0" applyNumberFormat="1"/>
    <xf numFmtId="0" fontId="0" fillId="0" borderId="1" xfId="0" applyBorder="1"/>
    <xf numFmtId="0" fontId="4" fillId="4" borderId="0" xfId="0" applyFont="1" applyFill="1"/>
    <xf numFmtId="0" fontId="0" fillId="4" borderId="0" xfId="0" applyFill="1"/>
    <xf numFmtId="0" fontId="5" fillId="4" borderId="0" xfId="0" applyFont="1" applyFill="1"/>
    <xf numFmtId="0" fontId="0" fillId="0" borderId="0" xfId="0" pivotButton="1"/>
    <xf numFmtId="0" fontId="0" fillId="0" borderId="0" xfId="0" applyAlignment="1">
      <alignment horizontal="left"/>
    </xf>
    <xf numFmtId="14" fontId="0" fillId="0" borderId="0" xfId="0" applyNumberFormat="1" applyAlignment="1">
      <alignment horizontal="left"/>
    </xf>
    <xf numFmtId="0" fontId="6" fillId="0" borderId="2" xfId="0" applyFont="1" applyBorder="1"/>
    <xf numFmtId="14" fontId="0" fillId="0" borderId="0" xfId="0" applyNumberFormat="1"/>
    <xf numFmtId="0" fontId="0" fillId="5" borderId="1" xfId="0" applyFill="1" applyBorder="1"/>
    <xf numFmtId="0" fontId="7" fillId="0" borderId="0" xfId="0" applyFont="1"/>
    <xf numFmtId="0" fontId="0" fillId="6" borderId="1" xfId="0" applyFill="1" applyBorder="1"/>
    <xf numFmtId="0" fontId="0" fillId="7" borderId="1" xfId="0" applyFill="1" applyBorder="1"/>
    <xf numFmtId="0" fontId="15" fillId="4" borderId="0" xfId="0" applyFont="1" applyFill="1"/>
    <xf numFmtId="0" fontId="19" fillId="4" borderId="0" xfId="0" applyFont="1" applyFill="1" applyBorder="1" applyAlignment="1"/>
    <xf numFmtId="0" fontId="16" fillId="4" borderId="0" xfId="0" applyFont="1" applyFill="1" applyBorder="1" applyAlignment="1"/>
    <xf numFmtId="164" fontId="18" fillId="4" borderId="0" xfId="0" applyNumberFormat="1" applyFont="1" applyFill="1" applyBorder="1" applyAlignment="1">
      <alignment vertical="center"/>
    </xf>
    <xf numFmtId="0" fontId="20" fillId="12" borderId="3" xfId="0" applyFont="1" applyFill="1" applyBorder="1" applyAlignment="1">
      <alignment horizontal="center"/>
    </xf>
    <xf numFmtId="0" fontId="0" fillId="12" borderId="4" xfId="0" applyFill="1" applyBorder="1" applyAlignment="1">
      <alignment horizontal="center"/>
    </xf>
    <xf numFmtId="0" fontId="0" fillId="12" borderId="5" xfId="0" applyFill="1" applyBorder="1" applyAlignment="1">
      <alignment horizontal="center"/>
    </xf>
    <xf numFmtId="0" fontId="0" fillId="12" borderId="6" xfId="0" applyFill="1" applyBorder="1" applyAlignment="1">
      <alignment horizontal="center"/>
    </xf>
    <xf numFmtId="0" fontId="0" fillId="12" borderId="0" xfId="0" applyFill="1" applyBorder="1" applyAlignment="1">
      <alignment horizontal="center"/>
    </xf>
    <xf numFmtId="0" fontId="0" fillId="12" borderId="7" xfId="0" applyFill="1" applyBorder="1" applyAlignment="1">
      <alignment horizontal="center"/>
    </xf>
    <xf numFmtId="0" fontId="17" fillId="9" borderId="6" xfId="0" applyFont="1" applyFill="1" applyBorder="1" applyAlignment="1">
      <alignment horizontal="center" vertical="center"/>
    </xf>
    <xf numFmtId="0" fontId="17" fillId="9" borderId="0" xfId="0" applyFont="1" applyFill="1" applyBorder="1" applyAlignment="1">
      <alignment horizontal="center" vertical="center"/>
    </xf>
    <xf numFmtId="0" fontId="17" fillId="9" borderId="7" xfId="0" applyFont="1" applyFill="1" applyBorder="1" applyAlignment="1">
      <alignment horizontal="center" vertical="center"/>
    </xf>
    <xf numFmtId="0" fontId="17" fillId="9" borderId="8" xfId="0" applyFont="1" applyFill="1" applyBorder="1" applyAlignment="1">
      <alignment horizontal="center" vertical="center"/>
    </xf>
    <xf numFmtId="0" fontId="17" fillId="9" borderId="9" xfId="0" applyFont="1" applyFill="1" applyBorder="1" applyAlignment="1">
      <alignment horizontal="center" vertical="center"/>
    </xf>
    <xf numFmtId="0" fontId="17" fillId="9" borderId="10" xfId="0" applyFont="1" applyFill="1" applyBorder="1" applyAlignment="1">
      <alignment horizontal="center" vertical="center"/>
    </xf>
    <xf numFmtId="0" fontId="20" fillId="10" borderId="3" xfId="0" applyFont="1" applyFill="1" applyBorder="1" applyAlignment="1">
      <alignment horizontal="center"/>
    </xf>
    <xf numFmtId="0" fontId="0" fillId="10" borderId="4" xfId="0" applyFill="1" applyBorder="1" applyAlignment="1">
      <alignment horizontal="center"/>
    </xf>
    <xf numFmtId="0" fontId="0" fillId="10" borderId="5" xfId="0" applyFill="1" applyBorder="1" applyAlignment="1">
      <alignment horizontal="center"/>
    </xf>
    <xf numFmtId="0" fontId="0" fillId="10" borderId="6" xfId="0" applyFill="1" applyBorder="1" applyAlignment="1">
      <alignment horizontal="center"/>
    </xf>
    <xf numFmtId="0" fontId="0" fillId="10" borderId="0" xfId="0" applyFill="1" applyBorder="1" applyAlignment="1">
      <alignment horizontal="center"/>
    </xf>
    <xf numFmtId="0" fontId="0" fillId="10" borderId="7" xfId="0" applyFill="1" applyBorder="1" applyAlignment="1">
      <alignment horizontal="center"/>
    </xf>
    <xf numFmtId="0" fontId="22" fillId="9" borderId="6" xfId="0" applyFont="1" applyFill="1" applyBorder="1" applyAlignment="1">
      <alignment horizontal="center" vertical="center"/>
    </xf>
    <xf numFmtId="0" fontId="22" fillId="9" borderId="0" xfId="0" applyFont="1" applyFill="1" applyBorder="1" applyAlignment="1">
      <alignment horizontal="center" vertical="center"/>
    </xf>
    <xf numFmtId="0" fontId="22" fillId="9" borderId="7"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9" xfId="0" applyFont="1" applyFill="1" applyBorder="1" applyAlignment="1">
      <alignment horizontal="center" vertical="center"/>
    </xf>
    <xf numFmtId="0" fontId="22" fillId="9" borderId="10" xfId="0" applyFont="1" applyFill="1" applyBorder="1" applyAlignment="1">
      <alignment horizontal="center" vertical="center"/>
    </xf>
    <xf numFmtId="0" fontId="20" fillId="11" borderId="3" xfId="0" applyFont="1" applyFill="1" applyBorder="1" applyAlignment="1">
      <alignment horizontal="center"/>
    </xf>
    <xf numFmtId="0" fontId="0" fillId="11" borderId="4" xfId="0" applyFill="1" applyBorder="1" applyAlignment="1">
      <alignment horizontal="center"/>
    </xf>
    <xf numFmtId="0" fontId="0" fillId="11" borderId="5"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23" fillId="9" borderId="6"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7" xfId="0" applyFont="1" applyFill="1" applyBorder="1" applyAlignment="1">
      <alignment horizontal="center" vertical="center"/>
    </xf>
    <xf numFmtId="0" fontId="23" fillId="9" borderId="8" xfId="0" applyFont="1" applyFill="1" applyBorder="1" applyAlignment="1">
      <alignment horizontal="center" vertical="center"/>
    </xf>
    <xf numFmtId="0" fontId="23" fillId="9" borderId="9" xfId="0" applyFont="1" applyFill="1" applyBorder="1" applyAlignment="1">
      <alignment horizontal="center" vertical="center"/>
    </xf>
    <xf numFmtId="0" fontId="23" fillId="9" borderId="10" xfId="0" applyFont="1" applyFill="1" applyBorder="1" applyAlignment="1">
      <alignment horizontal="center" vertical="center"/>
    </xf>
    <xf numFmtId="0" fontId="20" fillId="8" borderId="3" xfId="0" applyFont="1" applyFill="1" applyBorder="1" applyAlignment="1">
      <alignment horizontal="center"/>
    </xf>
    <xf numFmtId="0" fontId="0" fillId="8" borderId="4"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0" fillId="8" borderId="7" xfId="0" applyFill="1" applyBorder="1" applyAlignment="1">
      <alignment horizontal="center"/>
    </xf>
    <xf numFmtId="0" fontId="21" fillId="9" borderId="6"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7" xfId="0" applyFont="1" applyFill="1" applyBorder="1" applyAlignment="1">
      <alignment horizontal="center" vertical="center"/>
    </xf>
    <xf numFmtId="0" fontId="21" fillId="9" borderId="8" xfId="0" applyFont="1" applyFill="1" applyBorder="1" applyAlignment="1">
      <alignment horizontal="center" vertical="center"/>
    </xf>
    <xf numFmtId="0" fontId="21" fillId="9" borderId="9" xfId="0" applyFont="1" applyFill="1" applyBorder="1" applyAlignment="1">
      <alignment horizontal="center" vertical="center"/>
    </xf>
    <xf numFmtId="0" fontId="21" fillId="9" borderId="10" xfId="0" applyFont="1" applyFill="1" applyBorder="1" applyAlignment="1">
      <alignment horizontal="center" vertical="center"/>
    </xf>
  </cellXfs>
  <cellStyles count="1">
    <cellStyle name="Normal" xfId="0" builtinId="0"/>
  </cellStyles>
  <dxfs count="30">
    <dxf>
      <font>
        <color rgb="FFFF0000"/>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7"/>
        </top>
      </border>
    </dxf>
    <dxf>
      <border outline="0">
        <bottom style="thin">
          <color theme="7"/>
        </bottom>
      </border>
    </dxf>
    <dxf>
      <font>
        <b/>
        <i val="0"/>
        <strike val="0"/>
        <condense val="0"/>
        <extend val="0"/>
        <outline val="0"/>
        <shadow val="0"/>
        <u val="none"/>
        <vertAlign val="baseline"/>
        <sz val="12"/>
        <color theme="7" tint="-0.249977111117893"/>
        <name val="Arial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[stockflow_manager.xlsm]TCDF_vente!PivotTable1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FF0000"/>
                </a:solidFill>
              </a:rPr>
              <a:t>Evolution de vente en</a:t>
            </a:r>
            <a:r>
              <a:rPr lang="en-US" sz="1600" b="1" baseline="0">
                <a:solidFill>
                  <a:srgbClr val="FF0000"/>
                </a:solidFill>
              </a:rPr>
              <a:t> fonction de temps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57150" cap="rnd">
            <a:solidFill>
              <a:schemeClr val="accent1"/>
            </a:solidFill>
            <a:round/>
          </a:ln>
          <a:effectLst/>
        </c:spPr>
        <c:marker>
          <c:symbol val="circle"/>
          <c:size val="5"/>
          <c:spPr>
            <a:solidFill>
              <a:schemeClr val="accent1"/>
            </a:solidFill>
            <a:ln w="1905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TCDF_vente!$B$3</c:f>
              <c:strCache>
                <c:ptCount val="1"/>
                <c:pt idx="0">
                  <c:v>Total</c:v>
                </c:pt>
              </c:strCache>
            </c:strRef>
          </c:tx>
          <c:spPr>
            <a:ln w="57150" cap="rnd">
              <a:solidFill>
                <a:schemeClr val="accent1"/>
              </a:solidFill>
              <a:round/>
            </a:ln>
            <a:effectLst/>
          </c:spPr>
          <c:marker>
            <c:symbol val="circle"/>
            <c:size val="5"/>
            <c:spPr>
              <a:solidFill>
                <a:schemeClr val="accent1"/>
              </a:solidFill>
              <a:ln w="190500">
                <a:solidFill>
                  <a:schemeClr val="accent2"/>
                </a:solidFill>
              </a:ln>
              <a:effectLst/>
            </c:spPr>
          </c:marker>
          <c:cat>
            <c:strRef>
              <c:f>TCDF_vente!$A$4</c:f>
              <c:strCache>
                <c:ptCount val="1"/>
                <c:pt idx="0">
                  <c:v>Grand Total</c:v>
                </c:pt>
              </c:strCache>
            </c:strRef>
          </c:cat>
          <c:val>
            <c:numRef>
              <c:f>TCDF_vente!$B$4</c:f>
              <c:numCache>
                <c:formatCode>General</c:formatCode>
                <c:ptCount val="1"/>
              </c:numCache>
            </c:numRef>
          </c:val>
          <c:smooth val="1"/>
          <c:extLst>
            <c:ext xmlns:c16="http://schemas.microsoft.com/office/drawing/2014/chart" uri="{C3380CC4-5D6E-409C-BE32-E72D297353CC}">
              <c16:uniqueId val="{00000000-0B87-42D1-8B08-446729A58EC1}"/>
            </c:ext>
          </c:extLst>
        </c:ser>
        <c:dLbls>
          <c:showLegendKey val="0"/>
          <c:showVal val="0"/>
          <c:showCatName val="0"/>
          <c:showSerName val="0"/>
          <c:showPercent val="0"/>
          <c:showBubbleSize val="0"/>
        </c:dLbls>
        <c:marker val="1"/>
        <c:smooth val="0"/>
        <c:axId val="1364872607"/>
        <c:axId val="1364872191"/>
      </c:lineChart>
      <c:catAx>
        <c:axId val="136487260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191"/>
        <c:crosses val="autoZero"/>
        <c:auto val="1"/>
        <c:lblAlgn val="ctr"/>
        <c:lblOffset val="100"/>
        <c:noMultiLvlLbl val="0"/>
      </c:catAx>
      <c:valAx>
        <c:axId val="136487219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[stockflow_manager.xlsm]PVT_Vente!PivotTable2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a:t>Evolution de vente en fonction de temps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PVT_Vente!$C$3</c:f>
              <c:strCache>
                <c:ptCount val="1"/>
                <c:pt idx="0">
                  <c:v>Montant vente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PVT_Vente!$A$4:$A$5</c:f>
              <c:strCache>
                <c:ptCount val="1"/>
                <c:pt idx="0">
                  <c:v>29/11/2024</c:v>
                </c:pt>
              </c:strCache>
            </c:strRef>
          </c:cat>
          <c:val>
            <c:numRef>
              <c:f>PVT_Vente!$C$4:$C$5</c:f>
              <c:numCache>
                <c:formatCode>General</c:formatCode>
                <c:ptCount val="1"/>
                <c:pt idx="0">
                  <c:v>82900</c:v>
                </c:pt>
              </c:numCache>
            </c:numRef>
          </c:val>
          <c:extLst>
            <c:ext xmlns:c16="http://schemas.microsoft.com/office/drawing/2014/chart" uri="{C3380CC4-5D6E-409C-BE32-E72D297353CC}">
              <c16:uniqueId val="{00000000-0866-462D-861C-0704285D4316}"/>
            </c:ext>
          </c:extLst>
        </c:ser>
        <c:dLbls>
          <c:showLegendKey val="0"/>
          <c:showVal val="0"/>
          <c:showCatName val="0"/>
          <c:showSerName val="0"/>
          <c:showPercent val="0"/>
          <c:showBubbleSize val="0"/>
        </c:dLbls>
        <c:gapWidth val="219"/>
        <c:overlap val="100"/>
        <c:axId val="1778038288"/>
        <c:axId val="1778052432"/>
      </c:barChart>
      <c:lineChart>
        <c:grouping val="stacked"/>
        <c:varyColors val="0"/>
        <c:ser>
          <c:idx val="0"/>
          <c:order val="0"/>
          <c:tx>
            <c:strRef>
              <c:f>PVT_Vente!$B$3</c:f>
              <c:strCache>
                <c:ptCount val="1"/>
                <c:pt idx="0">
                  <c:v>Quantite vendu</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PVT_Vente!$A$4:$A$5</c:f>
              <c:strCache>
                <c:ptCount val="1"/>
                <c:pt idx="0">
                  <c:v>29/11/2024</c:v>
                </c:pt>
              </c:strCache>
            </c:strRef>
          </c:cat>
          <c:val>
            <c:numRef>
              <c:f>PVT_Vente!$B$4:$B$5</c:f>
              <c:numCache>
                <c:formatCode>General</c:formatCode>
                <c:ptCount val="1"/>
                <c:pt idx="0">
                  <c:v>58</c:v>
                </c:pt>
              </c:numCache>
            </c:numRef>
          </c:val>
          <c:smooth val="0"/>
          <c:extLst>
            <c:ext xmlns:c16="http://schemas.microsoft.com/office/drawing/2014/chart" uri="{C3380CC4-5D6E-409C-BE32-E72D297353CC}">
              <c16:uniqueId val="{00000001-0866-462D-861C-0704285D4316}"/>
            </c:ext>
          </c:extLst>
        </c:ser>
        <c:dLbls>
          <c:showLegendKey val="0"/>
          <c:showVal val="0"/>
          <c:showCatName val="0"/>
          <c:showSerName val="0"/>
          <c:showPercent val="0"/>
          <c:showBubbleSize val="0"/>
        </c:dLbls>
        <c:marker val="1"/>
        <c:smooth val="0"/>
        <c:axId val="1778048688"/>
        <c:axId val="1778049104"/>
      </c:lineChart>
      <c:catAx>
        <c:axId val="1778048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49104"/>
        <c:crosses val="autoZero"/>
        <c:auto val="1"/>
        <c:lblAlgn val="ctr"/>
        <c:lblOffset val="100"/>
        <c:noMultiLvlLbl val="0"/>
      </c:catAx>
      <c:valAx>
        <c:axId val="17780491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48688"/>
        <c:crosses val="autoZero"/>
        <c:crossBetween val="between"/>
      </c:valAx>
      <c:valAx>
        <c:axId val="177805243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38288"/>
        <c:crosses val="max"/>
        <c:crossBetween val="between"/>
      </c:valAx>
      <c:catAx>
        <c:axId val="1778038288"/>
        <c:scaling>
          <c:orientation val="minMax"/>
        </c:scaling>
        <c:delete val="1"/>
        <c:axPos val="b"/>
        <c:numFmt formatCode="General" sourceLinked="1"/>
        <c:majorTickMark val="none"/>
        <c:minorTickMark val="none"/>
        <c:tickLblPos val="nextTo"/>
        <c:crossAx val="1778052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[stockflow_manager.xlsm]PVT_Achat!PivotTable1</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fr-FR"/>
              <a:t>Evolution d'achat en fonction de temps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PVT_Achat!$C$3</c:f>
              <c:strCache>
                <c:ptCount val="1"/>
                <c:pt idx="0">
                  <c:v> Montant achat</c:v>
                </c:pt>
              </c:strCache>
            </c:strRef>
          </c:tx>
          <c:spPr>
            <a:solidFill>
              <a:schemeClr val="accent2"/>
            </a:solidFill>
            <a:ln>
              <a:noFill/>
            </a:ln>
            <a:effectLst/>
          </c:spPr>
          <c:invertIfNegative val="0"/>
          <c:cat>
            <c:strRef>
              <c:f>PVT_Achat!$A$4:$A$8</c:f>
              <c:strCache>
                <c:ptCount val="4"/>
                <c:pt idx="0">
                  <c:v>08/10/2024</c:v>
                </c:pt>
                <c:pt idx="1">
                  <c:v>11/11/2024</c:v>
                </c:pt>
                <c:pt idx="2">
                  <c:v>07/07/2023</c:v>
                </c:pt>
                <c:pt idx="3">
                  <c:v>10/10/2024</c:v>
                </c:pt>
              </c:strCache>
            </c:strRef>
          </c:cat>
          <c:val>
            <c:numRef>
              <c:f>PVT_Achat!$C$4:$C$8</c:f>
              <c:numCache>
                <c:formatCode>General</c:formatCode>
                <c:ptCount val="4"/>
                <c:pt idx="0">
                  <c:v>100000</c:v>
                </c:pt>
                <c:pt idx="1">
                  <c:v>450000</c:v>
                </c:pt>
                <c:pt idx="2">
                  <c:v>2400000</c:v>
                </c:pt>
                <c:pt idx="3">
                  <c:v>3750000</c:v>
                </c:pt>
              </c:numCache>
            </c:numRef>
          </c:val>
          <c:extLst>
            <c:ext xmlns:c16="http://schemas.microsoft.com/office/drawing/2014/chart" uri="{C3380CC4-5D6E-409C-BE32-E72D297353CC}">
              <c16:uniqueId val="{00000000-557C-4CFB-BC9B-4A43663B6F40}"/>
            </c:ext>
          </c:extLst>
        </c:ser>
        <c:dLbls>
          <c:showLegendKey val="0"/>
          <c:showVal val="0"/>
          <c:showCatName val="0"/>
          <c:showSerName val="0"/>
          <c:showPercent val="0"/>
          <c:showBubbleSize val="0"/>
        </c:dLbls>
        <c:gapWidth val="247"/>
        <c:overlap val="100"/>
        <c:axId val="1657481264"/>
        <c:axId val="1657481680"/>
      </c:barChart>
      <c:lineChart>
        <c:grouping val="stacked"/>
        <c:varyColors val="0"/>
        <c:ser>
          <c:idx val="0"/>
          <c:order val="0"/>
          <c:tx>
            <c:strRef>
              <c:f>PVT_Achat!$B$3</c:f>
              <c:strCache>
                <c:ptCount val="1"/>
                <c:pt idx="0">
                  <c:v>Quantite achatee</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PVT_Achat!$A$4:$A$8</c:f>
              <c:strCache>
                <c:ptCount val="4"/>
                <c:pt idx="0">
                  <c:v>08/10/2024</c:v>
                </c:pt>
                <c:pt idx="1">
                  <c:v>11/11/2024</c:v>
                </c:pt>
                <c:pt idx="2">
                  <c:v>07/07/2023</c:v>
                </c:pt>
                <c:pt idx="3">
                  <c:v>10/10/2024</c:v>
                </c:pt>
              </c:strCache>
            </c:strRef>
          </c:cat>
          <c:val>
            <c:numRef>
              <c:f>PVT_Achat!$B$4:$B$8</c:f>
              <c:numCache>
                <c:formatCode>General</c:formatCode>
                <c:ptCount val="4"/>
                <c:pt idx="0">
                  <c:v>500</c:v>
                </c:pt>
                <c:pt idx="1">
                  <c:v>90</c:v>
                </c:pt>
                <c:pt idx="2">
                  <c:v>400</c:v>
                </c:pt>
                <c:pt idx="3">
                  <c:v>1500</c:v>
                </c:pt>
              </c:numCache>
            </c:numRef>
          </c:val>
          <c:smooth val="0"/>
          <c:extLst>
            <c:ext xmlns:c16="http://schemas.microsoft.com/office/drawing/2014/chart" uri="{C3380CC4-5D6E-409C-BE32-E72D297353CC}">
              <c16:uniqueId val="{00000001-557C-4CFB-BC9B-4A43663B6F40}"/>
            </c:ext>
          </c:extLst>
        </c:ser>
        <c:dLbls>
          <c:showLegendKey val="0"/>
          <c:showVal val="0"/>
          <c:showCatName val="0"/>
          <c:showSerName val="0"/>
          <c:showPercent val="0"/>
          <c:showBubbleSize val="0"/>
        </c:dLbls>
        <c:marker val="1"/>
        <c:smooth val="0"/>
        <c:axId val="1885390928"/>
        <c:axId val="1885392592"/>
      </c:lineChart>
      <c:catAx>
        <c:axId val="165748126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fr-FR"/>
          </a:p>
        </c:txPr>
        <c:crossAx val="1657481680"/>
        <c:crosses val="autoZero"/>
        <c:auto val="1"/>
        <c:lblAlgn val="ctr"/>
        <c:lblOffset val="100"/>
        <c:noMultiLvlLbl val="0"/>
      </c:catAx>
      <c:valAx>
        <c:axId val="165748168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657481264"/>
        <c:crosses val="autoZero"/>
        <c:crossBetween val="between"/>
      </c:valAx>
      <c:valAx>
        <c:axId val="188539259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885390928"/>
        <c:crosses val="max"/>
        <c:crossBetween val="between"/>
      </c:valAx>
      <c:catAx>
        <c:axId val="1885390928"/>
        <c:scaling>
          <c:orientation val="minMax"/>
        </c:scaling>
        <c:delete val="1"/>
        <c:axPos val="b"/>
        <c:numFmt formatCode="General" sourceLinked="1"/>
        <c:majorTickMark val="out"/>
        <c:minorTickMark val="none"/>
        <c:tickLblPos val="nextTo"/>
        <c:crossAx val="188539259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[stockflow_manager.xlsm]PVT_Article!PivotTable3</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fr-FR"/>
              <a:t>Comparaison entre quantie achetee et vendu</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PVT_Article!$B$3</c:f>
              <c:strCache>
                <c:ptCount val="1"/>
                <c:pt idx="0">
                  <c:v>Quantite totale  achatee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PVT_Article!$A$4:$A$11</c:f>
              <c:strCache>
                <c:ptCount val="7"/>
                <c:pt idx="0">
                  <c:v>C00001</c:v>
                </c:pt>
                <c:pt idx="1">
                  <c:v>C00002</c:v>
                </c:pt>
                <c:pt idx="2">
                  <c:v>C00003</c:v>
                </c:pt>
                <c:pt idx="3">
                  <c:v>C00004</c:v>
                </c:pt>
                <c:pt idx="4">
                  <c:v>C00005</c:v>
                </c:pt>
                <c:pt idx="5">
                  <c:v>C00006</c:v>
                </c:pt>
                <c:pt idx="6">
                  <c:v>C00007</c:v>
                </c:pt>
              </c:strCache>
            </c:strRef>
          </c:cat>
          <c:val>
            <c:numRef>
              <c:f>PVT_Article!$B$4:$B$11</c:f>
              <c:numCache>
                <c:formatCode>General</c:formatCode>
                <c:ptCount val="7"/>
                <c:pt idx="0">
                  <c:v>500</c:v>
                </c:pt>
                <c:pt idx="1">
                  <c:v>1500</c:v>
                </c:pt>
                <c:pt idx="2">
                  <c:v>400</c:v>
                </c:pt>
                <c:pt idx="3">
                  <c:v>90</c:v>
                </c:pt>
                <c:pt idx="4">
                  <c:v>0</c:v>
                </c:pt>
                <c:pt idx="5">
                  <c:v>0</c:v>
                </c:pt>
                <c:pt idx="6">
                  <c:v>0</c:v>
                </c:pt>
              </c:numCache>
            </c:numRef>
          </c:val>
          <c:extLst>
            <c:ext xmlns:c16="http://schemas.microsoft.com/office/drawing/2014/chart" uri="{C3380CC4-5D6E-409C-BE32-E72D297353CC}">
              <c16:uniqueId val="{00000000-669B-4811-A41C-1D2FBE2B5D2A}"/>
            </c:ext>
          </c:extLst>
        </c:ser>
        <c:ser>
          <c:idx val="1"/>
          <c:order val="1"/>
          <c:tx>
            <c:strRef>
              <c:f>PVT_Article!$C$3</c:f>
              <c:strCache>
                <c:ptCount val="1"/>
                <c:pt idx="0">
                  <c:v> Quantite totale  vendu</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PVT_Article!$C$4:$C$11</c:f>
              <c:numCache>
                <c:formatCode>General</c:formatCode>
                <c:ptCount val="7"/>
                <c:pt idx="0">
                  <c:v>0</c:v>
                </c:pt>
                <c:pt idx="1">
                  <c:v>4</c:v>
                </c:pt>
                <c:pt idx="2">
                  <c:v>25</c:v>
                </c:pt>
                <c:pt idx="3">
                  <c:v>29</c:v>
                </c:pt>
                <c:pt idx="4">
                  <c:v>0</c:v>
                </c:pt>
                <c:pt idx="5">
                  <c:v>0</c:v>
                </c:pt>
                <c:pt idx="6">
                  <c:v>0</c:v>
                </c:pt>
              </c:numCache>
            </c:numRef>
          </c:val>
          <c:extLst>
            <c:ext xmlns:c16="http://schemas.microsoft.com/office/drawing/2014/chart" uri="{C3380CC4-5D6E-409C-BE32-E72D297353CC}">
              <c16:uniqueId val="{00000001-669B-4811-A41C-1D2FBE2B5D2A}"/>
            </c:ext>
          </c:extLst>
        </c:ser>
        <c:dLbls>
          <c:showLegendKey val="0"/>
          <c:showVal val="0"/>
          <c:showCatName val="0"/>
          <c:showSerName val="0"/>
          <c:showPercent val="0"/>
          <c:showBubbleSize val="0"/>
        </c:dLbls>
        <c:gapWidth val="182"/>
        <c:overlap val="-50"/>
        <c:axId val="1886424448"/>
        <c:axId val="1886426944"/>
      </c:barChart>
      <c:catAx>
        <c:axId val="188642444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886426944"/>
        <c:crosses val="autoZero"/>
        <c:auto val="1"/>
        <c:lblAlgn val="ctr"/>
        <c:lblOffset val="100"/>
        <c:noMultiLvlLbl val="0"/>
      </c:catAx>
      <c:valAx>
        <c:axId val="188642694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88642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[stockflow_manager.xlsm]PVT_Article!PivotTable3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PVT_Article!$B$3</c:f>
              <c:strCache>
                <c:ptCount val="1"/>
                <c:pt idx="0">
                  <c:v>Quantite totale  achatee</c:v>
                </c:pt>
              </c:strCache>
            </c:strRef>
          </c:tx>
          <c:spPr>
            <a:solidFill>
              <a:schemeClr val="accent1"/>
            </a:solidFill>
            <a:ln>
              <a:noFill/>
            </a:ln>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PVT_Article!$B$4:$B$11</c:f>
              <c:numCache>
                <c:formatCode>General</c:formatCode>
                <c:ptCount val="7"/>
                <c:pt idx="0">
                  <c:v>500</c:v>
                </c:pt>
                <c:pt idx="1">
                  <c:v>1500</c:v>
                </c:pt>
                <c:pt idx="2">
                  <c:v>400</c:v>
                </c:pt>
                <c:pt idx="3">
                  <c:v>90</c:v>
                </c:pt>
                <c:pt idx="4">
                  <c:v>0</c:v>
                </c:pt>
                <c:pt idx="5">
                  <c:v>0</c:v>
                </c:pt>
                <c:pt idx="6">
                  <c:v>0</c:v>
                </c:pt>
              </c:numCache>
            </c:numRef>
          </c:val>
          <c:extLst>
            <c:ext xmlns:c16="http://schemas.microsoft.com/office/drawing/2014/chart" uri="{C3380CC4-5D6E-409C-BE32-E72D297353CC}">
              <c16:uniqueId val="{00000000-FAE5-4A2C-9568-29D035232EDE}"/>
            </c:ext>
          </c:extLst>
        </c:ser>
        <c:ser>
          <c:idx val="1"/>
          <c:order val="1"/>
          <c:tx>
            <c:strRef>
              <c:f>PVT_Article!$C$3</c:f>
              <c:strCache>
                <c:ptCount val="1"/>
                <c:pt idx="0">
                  <c:v> Quantite totale  vendu</c:v>
                </c:pt>
              </c:strCache>
            </c:strRef>
          </c:tx>
          <c:spPr>
            <a:solidFill>
              <a:schemeClr val="accent2"/>
            </a:solidFill>
            <a:ln>
              <a:noFill/>
            </a:ln>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PVT_Article!$C$4:$C$11</c:f>
              <c:numCache>
                <c:formatCode>General</c:formatCode>
                <c:ptCount val="7"/>
                <c:pt idx="0">
                  <c:v>0</c:v>
                </c:pt>
                <c:pt idx="1">
                  <c:v>4</c:v>
                </c:pt>
                <c:pt idx="2">
                  <c:v>25</c:v>
                </c:pt>
                <c:pt idx="3">
                  <c:v>29</c:v>
                </c:pt>
                <c:pt idx="4">
                  <c:v>0</c:v>
                </c:pt>
                <c:pt idx="5">
                  <c:v>0</c:v>
                </c:pt>
                <c:pt idx="6">
                  <c:v>0</c:v>
                </c:pt>
              </c:numCache>
            </c:numRef>
          </c:val>
          <c:extLst>
            <c:ext xmlns:c16="http://schemas.microsoft.com/office/drawing/2014/chart" uri="{C3380CC4-5D6E-409C-BE32-E72D297353CC}">
              <c16:uniqueId val="{00000001-FAE5-4A2C-9568-29D035232EDE}"/>
            </c:ext>
          </c:extLst>
        </c:ser>
        <c:dLbls>
          <c:showLegendKey val="0"/>
          <c:showVal val="0"/>
          <c:showCatName val="0"/>
          <c:showSerName val="0"/>
          <c:showPercent val="0"/>
          <c:showBubbleSize val="0"/>
        </c:dLbls>
        <c:gapWidth val="182"/>
        <c:axId val="1886424448"/>
        <c:axId val="1886426944"/>
      </c:barChart>
      <c:catAx>
        <c:axId val="188642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426944"/>
        <c:crosses val="autoZero"/>
        <c:auto val="1"/>
        <c:lblAlgn val="ctr"/>
        <c:lblOffset val="100"/>
        <c:noMultiLvlLbl val="0"/>
      </c:catAx>
      <c:valAx>
        <c:axId val="18864269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42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[stockflow_manager.xlsm]PVT_Achat!PivotTable1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PVT_Achat!$C$3</c:f>
              <c:strCache>
                <c:ptCount val="1"/>
                <c:pt idx="0">
                  <c:v> Montant achat</c:v>
                </c:pt>
              </c:strCache>
            </c:strRef>
          </c:tx>
          <c:spPr>
            <a:solidFill>
              <a:schemeClr val="accent2"/>
            </a:solidFill>
            <a:ln>
              <a:noFill/>
            </a:ln>
            <a:effectLst/>
          </c:spPr>
          <c:invertIfNegative val="0"/>
          <c:cat>
            <c:strRef>
              <c:f>PVT_Achat!$A$4:$A$8</c:f>
              <c:strCache>
                <c:ptCount val="4"/>
                <c:pt idx="0">
                  <c:v>08/10/2024</c:v>
                </c:pt>
                <c:pt idx="1">
                  <c:v>11/11/2024</c:v>
                </c:pt>
                <c:pt idx="2">
                  <c:v>07/07/2023</c:v>
                </c:pt>
                <c:pt idx="3">
                  <c:v>10/10/2024</c:v>
                </c:pt>
              </c:strCache>
            </c:strRef>
          </c:cat>
          <c:val>
            <c:numRef>
              <c:f>PVT_Achat!$C$4:$C$8</c:f>
              <c:numCache>
                <c:formatCode>General</c:formatCode>
                <c:ptCount val="4"/>
                <c:pt idx="0">
                  <c:v>100000</c:v>
                </c:pt>
                <c:pt idx="1">
                  <c:v>450000</c:v>
                </c:pt>
                <c:pt idx="2">
                  <c:v>2400000</c:v>
                </c:pt>
                <c:pt idx="3">
                  <c:v>3750000</c:v>
                </c:pt>
              </c:numCache>
            </c:numRef>
          </c:val>
          <c:extLst>
            <c:ext xmlns:c16="http://schemas.microsoft.com/office/drawing/2014/chart" uri="{C3380CC4-5D6E-409C-BE32-E72D297353CC}">
              <c16:uniqueId val="{00000001-AD93-42A4-957A-2F3AFF1A1B73}"/>
            </c:ext>
          </c:extLst>
        </c:ser>
        <c:dLbls>
          <c:showLegendKey val="0"/>
          <c:showVal val="0"/>
          <c:showCatName val="0"/>
          <c:showSerName val="0"/>
          <c:showPercent val="0"/>
          <c:showBubbleSize val="0"/>
        </c:dLbls>
        <c:gapWidth val="219"/>
        <c:overlap val="100"/>
        <c:axId val="1657481264"/>
        <c:axId val="1657481680"/>
      </c:barChart>
      <c:lineChart>
        <c:grouping val="stacked"/>
        <c:varyColors val="0"/>
        <c:ser>
          <c:idx val="0"/>
          <c:order val="0"/>
          <c:tx>
            <c:strRef>
              <c:f>PVT_Achat!$B$3</c:f>
              <c:strCache>
                <c:ptCount val="1"/>
                <c:pt idx="0">
                  <c:v>Quantite achatee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PVT_Achat!$A$4:$A$8</c:f>
              <c:strCache>
                <c:ptCount val="4"/>
                <c:pt idx="0">
                  <c:v>08/10/2024</c:v>
                </c:pt>
                <c:pt idx="1">
                  <c:v>11/11/2024</c:v>
                </c:pt>
                <c:pt idx="2">
                  <c:v>07/07/2023</c:v>
                </c:pt>
                <c:pt idx="3">
                  <c:v>10/10/2024</c:v>
                </c:pt>
              </c:strCache>
            </c:strRef>
          </c:cat>
          <c:val>
            <c:numRef>
              <c:f>PVT_Achat!$B$4:$B$8</c:f>
              <c:numCache>
                <c:formatCode>General</c:formatCode>
                <c:ptCount val="4"/>
                <c:pt idx="0">
                  <c:v>500</c:v>
                </c:pt>
                <c:pt idx="1">
                  <c:v>90</c:v>
                </c:pt>
                <c:pt idx="2">
                  <c:v>400</c:v>
                </c:pt>
                <c:pt idx="3">
                  <c:v>1500</c:v>
                </c:pt>
              </c:numCache>
            </c:numRef>
          </c:val>
          <c:smooth val="0"/>
          <c:extLst>
            <c:ext xmlns:c16="http://schemas.microsoft.com/office/drawing/2014/chart" uri="{C3380CC4-5D6E-409C-BE32-E72D297353CC}">
              <c16:uniqueId val="{00000000-AD93-42A4-957A-2F3AFF1A1B73}"/>
            </c:ext>
          </c:extLst>
        </c:ser>
        <c:dLbls>
          <c:showLegendKey val="0"/>
          <c:showVal val="0"/>
          <c:showCatName val="0"/>
          <c:showSerName val="0"/>
          <c:showPercent val="0"/>
          <c:showBubbleSize val="0"/>
        </c:dLbls>
        <c:marker val="1"/>
        <c:smooth val="0"/>
        <c:axId val="1885390928"/>
        <c:axId val="1885392592"/>
      </c:lineChart>
      <c:catAx>
        <c:axId val="165748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7481680"/>
        <c:crosses val="autoZero"/>
        <c:auto val="1"/>
        <c:lblAlgn val="ctr"/>
        <c:lblOffset val="100"/>
        <c:noMultiLvlLbl val="0"/>
      </c:catAx>
      <c:valAx>
        <c:axId val="1657481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7481264"/>
        <c:crosses val="autoZero"/>
        <c:crossBetween val="between"/>
      </c:valAx>
      <c:valAx>
        <c:axId val="18853925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5390928"/>
        <c:crosses val="max"/>
        <c:crossBetween val="between"/>
      </c:valAx>
      <c:catAx>
        <c:axId val="1885390928"/>
        <c:scaling>
          <c:orientation val="minMax"/>
        </c:scaling>
        <c:delete val="1"/>
        <c:axPos val="b"/>
        <c:numFmt formatCode="General" sourceLinked="1"/>
        <c:majorTickMark val="out"/>
        <c:minorTickMark val="none"/>
        <c:tickLblPos val="nextTo"/>
        <c:crossAx val="18853925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[stockflow_manager.xlsm]TCDF_vente!PivotTable1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TCDF_vente!$B$3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TCDF_vente!$A$4</c:f>
              <c:strCache>
                <c:ptCount val="1"/>
                <c:pt idx="0">
                  <c:v>Grand Total</c:v>
                </c:pt>
              </c:strCache>
            </c:strRef>
          </c:cat>
          <c:val>
            <c:numRef>
              <c:f>TCDF_vente!$B$4</c:f>
              <c:numCache>
                <c:formatCode>General</c:formatCode>
                <c:ptCount val="1"/>
              </c:numCache>
            </c:numRef>
          </c:val>
          <c:smooth val="0"/>
          <c:extLst>
            <c:ext xmlns:c16="http://schemas.microsoft.com/office/drawing/2014/chart" uri="{C3380CC4-5D6E-409C-BE32-E72D297353CC}">
              <c16:uniqueId val="{00000000-5435-4AE2-8054-8EE62F6F502B}"/>
            </c:ext>
          </c:extLst>
        </c:ser>
        <c:dLbls>
          <c:showLegendKey val="0"/>
          <c:showVal val="0"/>
          <c:showCatName val="0"/>
          <c:showSerName val="0"/>
          <c:showPercent val="0"/>
          <c:showBubbleSize val="0"/>
        </c:dLbls>
        <c:marker val="1"/>
        <c:smooth val="0"/>
        <c:axId val="1364872607"/>
        <c:axId val="1364872191"/>
      </c:lineChart>
      <c:catAx>
        <c:axId val="1364872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191"/>
        <c:crosses val="autoZero"/>
        <c:auto val="1"/>
        <c:lblAlgn val="ctr"/>
        <c:lblOffset val="100"/>
        <c:noMultiLvlLbl val="0"/>
      </c:catAx>
      <c:valAx>
        <c:axId val="1364872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[stockflow_manager.xlsm]PVT_Vente!PivotTable2</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PVT_Vente!$C$3</c:f>
              <c:strCache>
                <c:ptCount val="1"/>
                <c:pt idx="0">
                  <c:v>Montant vente</c:v>
                </c:pt>
              </c:strCache>
            </c:strRef>
          </c:tx>
          <c:spPr>
            <a:solidFill>
              <a:schemeClr val="accent2"/>
            </a:solidFill>
            <a:ln>
              <a:noFill/>
            </a:ln>
            <a:effectLst/>
          </c:spPr>
          <c:invertIfNegative val="0"/>
          <c:cat>
            <c:strRef>
              <c:f>PVT_Vente!$A$4:$A$5</c:f>
              <c:strCache>
                <c:ptCount val="1"/>
                <c:pt idx="0">
                  <c:v>29/11/2024</c:v>
                </c:pt>
              </c:strCache>
            </c:strRef>
          </c:cat>
          <c:val>
            <c:numRef>
              <c:f>PVT_Vente!$C$4:$C$5</c:f>
              <c:numCache>
                <c:formatCode>General</c:formatCode>
                <c:ptCount val="1"/>
                <c:pt idx="0">
                  <c:v>82900</c:v>
                </c:pt>
              </c:numCache>
            </c:numRef>
          </c:val>
          <c:extLst>
            <c:ext xmlns:c16="http://schemas.microsoft.com/office/drawing/2014/chart" uri="{C3380CC4-5D6E-409C-BE32-E72D297353CC}">
              <c16:uniqueId val="{00000001-8DAC-46C9-8B6E-C9D03F6878BC}"/>
            </c:ext>
          </c:extLst>
        </c:ser>
        <c:dLbls>
          <c:showLegendKey val="0"/>
          <c:showVal val="0"/>
          <c:showCatName val="0"/>
          <c:showSerName val="0"/>
          <c:showPercent val="0"/>
          <c:showBubbleSize val="0"/>
        </c:dLbls>
        <c:gapWidth val="219"/>
        <c:overlap val="100"/>
        <c:axId val="1778038288"/>
        <c:axId val="1778052432"/>
      </c:barChart>
      <c:lineChart>
        <c:grouping val="stacked"/>
        <c:varyColors val="0"/>
        <c:ser>
          <c:idx val="0"/>
          <c:order val="0"/>
          <c:tx>
            <c:strRef>
              <c:f>PVT_Vente!$B$3</c:f>
              <c:strCache>
                <c:ptCount val="1"/>
                <c:pt idx="0">
                  <c:v>Quantite vendu</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PVT_Vente!$A$4:$A$5</c:f>
              <c:strCache>
                <c:ptCount val="1"/>
                <c:pt idx="0">
                  <c:v>29/11/2024</c:v>
                </c:pt>
              </c:strCache>
            </c:strRef>
          </c:cat>
          <c:val>
            <c:numRef>
              <c:f>PVT_Vente!$B$4:$B$5</c:f>
              <c:numCache>
                <c:formatCode>General</c:formatCode>
                <c:ptCount val="1"/>
                <c:pt idx="0">
                  <c:v>58</c:v>
                </c:pt>
              </c:numCache>
            </c:numRef>
          </c:val>
          <c:smooth val="0"/>
          <c:extLst>
            <c:ext xmlns:c16="http://schemas.microsoft.com/office/drawing/2014/chart" uri="{C3380CC4-5D6E-409C-BE32-E72D297353CC}">
              <c16:uniqueId val="{00000000-8DAC-46C9-8B6E-C9D03F6878BC}"/>
            </c:ext>
          </c:extLst>
        </c:ser>
        <c:dLbls>
          <c:showLegendKey val="0"/>
          <c:showVal val="0"/>
          <c:showCatName val="0"/>
          <c:showSerName val="0"/>
          <c:showPercent val="0"/>
          <c:showBubbleSize val="0"/>
        </c:dLbls>
        <c:marker val="1"/>
        <c:smooth val="0"/>
        <c:axId val="1778048688"/>
        <c:axId val="1778049104"/>
      </c:lineChart>
      <c:catAx>
        <c:axId val="177804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49104"/>
        <c:crosses val="autoZero"/>
        <c:auto val="1"/>
        <c:lblAlgn val="ctr"/>
        <c:lblOffset val="100"/>
        <c:noMultiLvlLbl val="0"/>
      </c:catAx>
      <c:valAx>
        <c:axId val="1778049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48688"/>
        <c:crosses val="autoZero"/>
        <c:crossBetween val="between"/>
      </c:valAx>
      <c:valAx>
        <c:axId val="17780524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38288"/>
        <c:crosses val="max"/>
        <c:crossBetween val="between"/>
      </c:valAx>
      <c:catAx>
        <c:axId val="1778038288"/>
        <c:scaling>
          <c:orientation val="minMax"/>
        </c:scaling>
        <c:delete val="1"/>
        <c:axPos val="b"/>
        <c:numFmt formatCode="General" sourceLinked="1"/>
        <c:majorTickMark val="out"/>
        <c:minorTickMark val="none"/>
        <c:tickLblPos val="nextTo"/>
        <c:crossAx val="1778052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581025</xdr:colOff>
          <xdr:row>6</xdr:row>
          <xdr:rowOff>19050</xdr:rowOff>
        </xdr:from>
        <xdr:to>
          <xdr:col>5</xdr:col>
          <xdr:colOff>0</xdr:colOff>
          <xdr:row>8</xdr:row>
          <xdr:rowOff>161925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CC99"/>
                  </a:solidFill>
                  <a:latin typeface="Roboto"/>
                  <a:ea typeface="Roboto"/>
                  <a:cs typeface="Roboto"/>
                </a:rPr>
                <a:t>Gestion de ventes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10</xdr:row>
          <xdr:rowOff>47625</xdr:rowOff>
        </xdr:from>
        <xdr:to>
          <xdr:col>5</xdr:col>
          <xdr:colOff>0</xdr:colOff>
          <xdr:row>13</xdr:row>
          <xdr:rowOff>9525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339966"/>
                  </a:solidFill>
                  <a:latin typeface="Roboto"/>
                  <a:ea typeface="Roboto"/>
                  <a:cs typeface="Roboto"/>
                </a:rPr>
                <a:t>Approvisionnement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561975</xdr:colOff>
          <xdr:row>14</xdr:row>
          <xdr:rowOff>85725</xdr:rowOff>
        </xdr:from>
        <xdr:to>
          <xdr:col>4</xdr:col>
          <xdr:colOff>561975</xdr:colOff>
          <xdr:row>17</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99CCFF"/>
                  </a:solidFill>
                  <a:latin typeface="Roboto"/>
                  <a:ea typeface="Roboto"/>
                  <a:cs typeface="Roboto"/>
                </a:rPr>
                <a:t>Gestion des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26</xdr:row>
          <xdr:rowOff>180975</xdr:rowOff>
        </xdr:from>
        <xdr:to>
          <xdr:col>4</xdr:col>
          <xdr:colOff>542925</xdr:colOff>
          <xdr:row>29</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CCCCFF"/>
                  </a:solidFill>
                  <a:latin typeface="Roboto"/>
                  <a:ea typeface="Roboto"/>
                  <a:cs typeface="Roboto"/>
                </a:rPr>
                <a:t>Client/Fournisseur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18</xdr:row>
          <xdr:rowOff>171450</xdr:rowOff>
        </xdr:from>
        <xdr:to>
          <xdr:col>4</xdr:col>
          <xdr:colOff>571500</xdr:colOff>
          <xdr:row>21</xdr:row>
          <xdr:rowOff>85725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800080"/>
                  </a:solidFill>
                  <a:latin typeface="Roboto"/>
                  <a:ea typeface="Roboto"/>
                  <a:cs typeface="Roboto"/>
                </a:rPr>
                <a:t>Facturation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22</xdr:row>
          <xdr:rowOff>180975</xdr:rowOff>
        </xdr:from>
        <xdr:to>
          <xdr:col>4</xdr:col>
          <xdr:colOff>571500</xdr:colOff>
          <xdr:row>25</xdr:row>
          <xdr:rowOff>104775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Dahboard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31</xdr:row>
          <xdr:rowOff>47625</xdr:rowOff>
        </xdr:from>
        <xdr:to>
          <xdr:col>4</xdr:col>
          <xdr:colOff>542925</xdr:colOff>
          <xdr:row>33</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0000FF"/>
                  </a:solidFill>
                  <a:latin typeface="Roboto"/>
                  <a:ea typeface="Roboto"/>
                  <a:cs typeface="Roboto"/>
                </a:rPr>
                <a:t>Gestion des devis</a:t>
              </a:r>
            </a:p>
          </xdr:txBody>
        </xdr:sp>
        <xdr:clientData fPrintsWithSheet="0"/>
      </xdr:twoCellAnchor>
    </mc:Choice>
    <mc:Fallback/>
  </mc:AlternateContent>
  <xdr:twoCellAnchor>
    <xdr:from>
      <xdr:col>10</xdr:col>
      <xdr:colOff>35717</xdr:colOff>
      <xdr:row>15</xdr:row>
      <xdr:rowOff>0</xdr:rowOff>
    </xdr:from>
    <xdr:to>
      <xdr:col>26</xdr:col>
      <xdr:colOff>11906</xdr:colOff>
      <xdr:row>33</xdr:row>
      <xdr:rowOff>83343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571501</xdr:colOff>
      <xdr:row>15</xdr:row>
      <xdr:rowOff>19050</xdr:rowOff>
    </xdr:from>
    <xdr:to>
      <xdr:col>9</xdr:col>
      <xdr:colOff>578645</xdr:colOff>
      <xdr:row>33</xdr:row>
      <xdr:rowOff>83344</xdr:rowOff>
    </xdr:to>
    <mc:AlternateContent xmlns:mc="http://schemas.openxmlformats.org/markup-compatibility/2006" xmlns:a14="http://schemas.microsoft.com/office/drawing/2010/main">
      <mc:Choice Requires="a14">
        <xdr:graphicFrame macro="">
          <xdr:nvGraphicFramePr>
            <xdr:cNvPr id="2" name="Libelle_articl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Libelle_article"/>
            </a:graphicData>
          </a:graphic>
        </xdr:graphicFrame>
      </mc:Choice>
      <mc:Fallback xmlns="">
        <xdr:sp macro="" textlink="">
          <xdr:nvSpPr>
            <xdr:cNvPr id="0" name=""/>
            <xdr:cNvSpPr>
              <a:spLocks noTextEdit="1"/>
            </xdr:cNvSpPr>
          </xdr:nvSpPr>
          <xdr:spPr>
            <a:xfrm>
              <a:off x="4214814" y="3150394"/>
              <a:ext cx="1828800" cy="35052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2</xdr:row>
      <xdr:rowOff>9524</xdr:rowOff>
    </xdr:from>
    <xdr:to>
      <xdr:col>14</xdr:col>
      <xdr:colOff>9525</xdr:colOff>
      <xdr:row>16</xdr:row>
      <xdr:rowOff>171449</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xdr:colOff>
      <xdr:row>21</xdr:row>
      <xdr:rowOff>171449</xdr:rowOff>
    </xdr:from>
    <xdr:to>
      <xdr:col>14</xdr:col>
      <xdr:colOff>28575</xdr:colOff>
      <xdr:row>37</xdr:row>
      <xdr:rowOff>9524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590549</xdr:colOff>
      <xdr:row>41</xdr:row>
      <xdr:rowOff>171450</xdr:rowOff>
    </xdr:from>
    <xdr:to>
      <xdr:col>13</xdr:col>
      <xdr:colOff>600074</xdr:colOff>
      <xdr:row>57</xdr:row>
      <xdr:rowOff>19050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581025</xdr:colOff>
          <xdr:row>3</xdr:row>
          <xdr:rowOff>0</xdr:rowOff>
        </xdr:from>
        <xdr:to>
          <xdr:col>20</xdr:col>
          <xdr:colOff>600075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Retour a l'accueil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523875</xdr:colOff>
      <xdr:row>1</xdr:row>
      <xdr:rowOff>142875</xdr:rowOff>
    </xdr:from>
    <xdr:to>
      <xdr:col>13</xdr:col>
      <xdr:colOff>57151</xdr:colOff>
      <xdr:row>16</xdr:row>
      <xdr:rowOff>28575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581024</xdr:colOff>
      <xdr:row>1</xdr:row>
      <xdr:rowOff>152400</xdr:rowOff>
    </xdr:from>
    <xdr:to>
      <xdr:col>13</xdr:col>
      <xdr:colOff>114299</xdr:colOff>
      <xdr:row>13</xdr:row>
      <xdr:rowOff>114300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1</xdr:row>
      <xdr:rowOff>171450</xdr:rowOff>
    </xdr:from>
    <xdr:to>
      <xdr:col>12</xdr:col>
      <xdr:colOff>314325</xdr:colOff>
      <xdr:row>16</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571500</xdr:colOff>
      <xdr:row>1</xdr:row>
      <xdr:rowOff>152400</xdr:rowOff>
    </xdr:from>
    <xdr:to>
      <xdr:col>12</xdr:col>
      <xdr:colOff>266700</xdr:colOff>
      <xdr:row>16</xdr:row>
      <xdr:rowOff>38100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171450</xdr:rowOff>
        </xdr:from>
        <xdr:to>
          <xdr:col>5</xdr:col>
          <xdr:colOff>9525</xdr:colOff>
          <xdr:row>14</xdr:row>
          <xdr:rowOff>180975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ea typeface="Calibri"/>
                  <a:cs typeface="Calibri"/>
                </a:rPr>
                <a:t>IMPRIMER LA FACTURE SELECTIONNEE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590550</xdr:colOff>
          <xdr:row>10</xdr:row>
          <xdr:rowOff>123825</xdr:rowOff>
        </xdr:from>
        <xdr:to>
          <xdr:col>14</xdr:col>
          <xdr:colOff>0</xdr:colOff>
          <xdr:row>13</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Retour a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91193750003" createdVersion="7" refreshedVersion="8" minRefreshableVersion="3" recordCount="4" xr:uid="{52BAC5F7-779C-47AD-968A-F6E923613773}">
  <cacheSource type="worksheet">
    <worksheetSource name="Table_achat"/>
  </cacheSource>
  <cacheFields count="7">
    <cacheField name="Code_article" numFmtId="0">
      <sharedItems/>
    </cacheField>
    <cacheField name="Libelle_article" numFmtId="0">
      <sharedItems/>
    </cacheField>
    <cacheField name="Prix_achat" numFmtId="0">
      <sharedItems containsSemiMixedTypes="0" containsString="0" containsNumber="1" containsInteger="1" minValue="200" maxValue="6000"/>
    </cacheField>
    <cacheField name="Quantite_achat" numFmtId="0">
      <sharedItems containsSemiMixedTypes="0" containsString="0" containsNumber="1" containsInteger="1" minValue="90" maxValue="1500"/>
    </cacheField>
    <cacheField name="Montant_achat" numFmtId="0">
      <sharedItems containsSemiMixedTypes="0" containsString="0" containsNumber="1" containsInteger="1" minValue="100000" maxValue="3750000"/>
    </cacheField>
    <cacheField name="Date" numFmtId="14">
      <sharedItems containsSemiMixedTypes="0" containsNonDate="0" containsDate="1" containsString="0" minDate="2000-01-01T00:00:00" maxDate="2027-01-03T00:00:00" count="10">
        <d v="2024-10-08T00:00:00"/>
        <d v="2024-11-11T00:00:00"/>
        <d v="2023-07-07T00:00:00"/>
        <d v="2024-10-10T00:00:00"/>
        <d v="2024-11-28T00:00:00" u="1"/>
        <d v="2000-12-12T00:00:00" u="1"/>
        <d v="2000-01-01T00:00:00" u="1"/>
        <d v="2023-12-12T00:00:00" u="1"/>
        <d v="2027-01-02T00:00:00" u="1"/>
        <d v="2000-02-02T00:00:00" u="1"/>
      </sharedItems>
    </cacheField>
    <cacheField name="Fournisseu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9119398148" createdVersion="7" refreshedVersion="8" minRefreshableVersion="3" recordCount="7" xr:uid="{6E6CA7AC-FF93-49BE-A2EE-BFBD94CAD186}">
  <cacheSource type="worksheet">
    <worksheetSource name="Table_article"/>
  </cacheSource>
  <cacheFields count="10">
    <cacheField name="Code_article" numFmtId="0">
      <sharedItems/>
    </cacheField>
    <cacheField name="Libelle_article" numFmtId="0">
      <sharedItems count="15">
        <s v="C00001"/>
        <s v="C00002"/>
        <s v="C00003"/>
        <s v="C00004"/>
        <s v="C00005"/>
        <s v="C00006"/>
        <s v="C00007"/>
        <s v="tele" u="1"/>
        <s v="air" u="1"/>
        <s v="parfum" u="1"/>
        <s v="lit" u="1"/>
        <s v="woow" u="1"/>
        <s v="jjj" u="1"/>
        <s v="chem3a" u="1"/>
        <s v="hola" u="1"/>
      </sharedItems>
    </cacheField>
    <cacheField name="Quantite_totale_achat" numFmtId="0">
      <sharedItems containsSemiMixedTypes="0" containsString="0" containsNumber="1" containsInteger="1" minValue="0" maxValue="1500"/>
    </cacheField>
    <cacheField name="Quantite_totale_vente" numFmtId="0">
      <sharedItems containsSemiMixedTypes="0" containsString="0" containsNumber="1" containsInteger="1" minValue="0" maxValue="29"/>
    </cacheField>
    <cacheField name="Quantite_stock" numFmtId="0">
      <sharedItems containsSemiMixedTypes="0" containsString="0" containsNumber="1" containsInteger="1" minValue="0" maxValue="1496"/>
    </cacheField>
    <cacheField name="Status" numFmtId="0">
      <sharedItems/>
    </cacheField>
    <cacheField name="Prix_vente" numFmtId="0">
      <sharedItems containsSemiMixedTypes="0" containsString="0" containsNumber="1" containsInteger="1" minValue="25" maxValue="9500"/>
    </cacheField>
    <cacheField name="Montant_achat" numFmtId="0">
      <sharedItems containsSemiMixedTypes="0" containsString="0" containsNumber="1" containsInteger="1" minValue="0" maxValue="3750000"/>
    </cacheField>
    <cacheField name="Montant_vente" numFmtId="0">
      <sharedItems containsSemiMixedTypes="0" containsString="0" containsNumber="1" containsInteger="1" minValue="0" maxValue="50000"/>
    </cacheField>
    <cacheField name="Valeur du stock" numFmtId="0">
      <sharedItems containsSemiMixedTypes="0" containsString="0" containsNumber="1" containsInteger="1" minValue="0" maxValue="10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91194212965" createdVersion="7" refreshedVersion="8" minRefreshableVersion="3" recordCount="3" xr:uid="{6129550B-054A-4ACA-A16D-E0D89E792964}">
  <cacheSource type="worksheet">
    <worksheetSource name="Table_vente"/>
  </cacheSource>
  <cacheFields count="8">
    <cacheField name="Code_article" numFmtId="0">
      <sharedItems count="10">
        <s v="Lit"/>
        <s v="TV"/>
        <s v="Porte"/>
        <s v="Robe" u="1"/>
        <s v="p1123" u="1"/>
        <s v="walo2" u="1"/>
        <s v="kkk" u="1"/>
        <s v="c1234" u="1"/>
        <s v="1342hh" u="1"/>
        <s v="walo" u="1"/>
      </sharedItems>
    </cacheField>
    <cacheField name="Libelle_article" numFmtId="0">
      <sharedItems count="10">
        <s v="C00002"/>
        <s v="C00003"/>
        <s v="C00004"/>
        <s v="C00007" u="1"/>
        <s v="chem3a" u="1"/>
        <s v="parfum" u="1"/>
        <s v="jjj" u="1"/>
        <s v="lit" u="1"/>
        <s v="hola" u="1"/>
        <s v="air" u="1"/>
      </sharedItems>
    </cacheField>
    <cacheField name="Prix_vente" numFmtId="0">
      <sharedItems containsSemiMixedTypes="0" containsString="0" containsNumber="1" containsInteger="1" minValue="0" maxValue="4500" count="14">
        <n v="1700"/>
        <n v="2000"/>
        <n v="900"/>
        <n v="170" u="1"/>
        <n v="0" u="1"/>
        <n v="23" u="1"/>
        <n v="78" u="1"/>
        <n v="3" u="1"/>
        <n v="1500" u="1"/>
        <n v="89" u="1"/>
        <n v="506" u="1"/>
        <n v="789" u="1"/>
        <n v="40" u="1"/>
        <n v="4500" u="1"/>
      </sharedItems>
    </cacheField>
    <cacheField name="Quantite_vente" numFmtId="0">
      <sharedItems containsSemiMixedTypes="0" containsString="0" containsNumber="1" containsInteger="1" minValue="0" maxValue="543" count="17">
        <n v="4"/>
        <n v="25"/>
        <n v="29"/>
        <n v="40" u="1"/>
        <n v="0" u="1"/>
        <n v="5" u="1"/>
        <n v="14" u="1"/>
        <n v="2" u="1"/>
        <n v="16" u="1"/>
        <n v="1" u="1"/>
        <n v="3" u="1"/>
        <n v="8" u="1"/>
        <n v="200" u="1"/>
        <n v="10" u="1"/>
        <n v="11" u="1"/>
        <n v="543" u="1"/>
        <n v="30" u="1"/>
      </sharedItems>
    </cacheField>
    <cacheField name="Montant_vente" numFmtId="0">
      <sharedItems containsSemiMixedTypes="0" containsString="0" containsNumber="1" containsInteger="1" minValue="0" maxValue="50000" count="22">
        <n v="6800"/>
        <n v="50000"/>
        <n v="26100"/>
        <n v="0" u="1"/>
        <n v="1518" u="1"/>
        <n v="8000" u="1"/>
        <n v="3000" u="1"/>
        <n v="120" u="1"/>
        <n v="7500" u="1"/>
        <n v="4500" u="1"/>
        <n v="4000" u="1"/>
        <n v="115" u="1"/>
        <n v="223" u="1"/>
        <n v="1500" u="1"/>
        <n v="7890" u="1"/>
        <n v="15600" u="1"/>
        <n v="1600" u="1"/>
        <n v="18000" u="1"/>
        <n v="2000" u="1"/>
        <n v="45000" u="1"/>
        <n v="16000" u="1"/>
        <n v="6000" u="1"/>
      </sharedItems>
    </cacheField>
    <cacheField name="Date" numFmtId="14">
      <sharedItems containsSemiMixedTypes="0" containsNonDate="0" containsDate="1" containsString="0" minDate="2000-10-12T00:00:00" maxDate="2222-02-03T00:00:00" count="4">
        <d v="2024-11-29T00:00:00"/>
        <d v="2024-11-28T00:00:00" u="1"/>
        <d v="2000-10-12T00:00:00" u="1"/>
        <d v="2222-02-02T00:00:00" u="1"/>
      </sharedItems>
    </cacheField>
    <cacheField name="Facture" numFmtId="0">
      <sharedItems containsBlank="1" count="43">
        <s v="Fact11/29/2024A7767"/>
        <s v="Fact11/29/2024A662"/>
        <m u="1"/>
        <s v="Fact11/28/2024A1740" u="1"/>
        <s v="Fact11/29/2024A2332" u="1"/>
        <s v="Fact11/28/2024A2807" u="1"/>
        <s v="Fact11/28/2024A867" u="1"/>
        <s v="Fact11/28/2024A3400" u="1"/>
        <s v="Fact11/28/2024A6413" u="1"/>
        <s v="Fact11/29/2024A6518" u="1"/>
        <s v="Fact11/28/2024A4275" u="1"/>
        <s v="Fact11/28/2024A8716" u="1"/>
        <s v="Fact11/28/2024A7606" u="1"/>
        <s v="Fact3" u="1"/>
        <s v="Fact11/28/2024A2676" u="1"/>
        <s v="Fact11/28/2024A4970" u="1"/>
        <s v="Fact11/29/2024A9804" u="1"/>
        <s v="Fact11/29/2024A4949" u="1"/>
        <s v="Fact11/28/2024A2634" u="1"/>
        <s v="Fact11/28/2024A5215" u="1"/>
        <s v="Fact11/29/2024A1966" u="1"/>
        <s v="Fact11/28/2024A3774" u="1"/>
        <s v="Fact11/28/2024A742" u="1"/>
        <s v="Fact11/28/2024A1944" u="1"/>
        <s v="Fact11/29/2024A5424" u="1"/>
        <s v="Fact2" u="1"/>
        <s v="Fact11/29/2024A1542" u="1"/>
        <s v="Fact1" u="1"/>
        <s v="Fact11/28/2024A6295" u="1"/>
        <s v="Fact11/28/2024A1000" u="1"/>
        <s v="Fact11/28/2024A2793" u="1"/>
        <s v="Fact11/28/2024A4158" u="1"/>
        <s v="Fact11/28/2024A9118" u="1"/>
        <s v="Fact11/28/2024A3269" u="1"/>
        <s v="Fact11/28/2024A1039" u="1"/>
        <s v="Fact11/28/2024A1070" u="1"/>
        <s v="Fact11/28/2024A4895" u="1"/>
        <s v="Fact11/29/2024A3458" u="1"/>
        <s v="Fact11/28/2024A8132" u="1"/>
        <s v="Fact11/28/2024A8753" u="1"/>
        <s v="Fact11/28/2024A4946" u="1"/>
        <s v="Fact11/29/2024A7778" u="1"/>
        <s v="Fact11/28/2024A8129" u="1"/>
      </sharedItems>
    </cacheField>
    <cacheField name="Client" numFmtId="0">
      <sharedItems/>
    </cacheField>
  </cacheFields>
  <extLst>
    <ext xmlns:x14="http://schemas.microsoft.com/office/spreadsheetml/2009/9/main" uri="{725AE2AE-9491-48be-B2B4-4EB974FC3084}">
      <x14:pivotCacheDefinition pivotCacheId="12004445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Chaise"/>
    <s v="C00001"/>
    <n v="200"/>
    <n v="500"/>
    <n v="100000"/>
    <x v="0"/>
    <s v="Ali khayrouni"/>
  </r>
  <r>
    <s v="Porte"/>
    <s v="C00004"/>
    <n v="5000"/>
    <n v="90"/>
    <n v="450000"/>
    <x v="1"/>
    <s v="Lamyae zaidi"/>
  </r>
  <r>
    <s v="TV"/>
    <s v="C00003"/>
    <n v="6000"/>
    <n v="400"/>
    <n v="2400000"/>
    <x v="2"/>
    <s v="Soumaya ouali"/>
  </r>
  <r>
    <s v="Lit"/>
    <s v="C00002"/>
    <n v="2500"/>
    <n v="1500"/>
    <n v="3750000"/>
    <x v="3"/>
    <s v="Ahme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Chaise"/>
    <x v="0"/>
    <n v="500"/>
    <n v="0"/>
    <n v="500"/>
    <s v="Vente possible"/>
    <n v="50"/>
    <n v="100000"/>
    <n v="0"/>
    <n v="0"/>
  </r>
  <r>
    <s v="Lit"/>
    <x v="1"/>
    <n v="1500"/>
    <n v="4"/>
    <n v="1496"/>
    <s v="Vente possible"/>
    <n v="1700"/>
    <n v="3750000"/>
    <n v="6800"/>
    <n v="11560000"/>
  </r>
  <r>
    <s v="TV"/>
    <x v="2"/>
    <n v="400"/>
    <n v="25"/>
    <n v="375"/>
    <s v="Vente possible"/>
    <n v="2000"/>
    <n v="2400000"/>
    <n v="50000"/>
    <n v="100000000"/>
  </r>
  <r>
    <s v="Porte"/>
    <x v="3"/>
    <n v="90"/>
    <n v="29"/>
    <n v="61"/>
    <s v="Vente possible"/>
    <n v="900"/>
    <n v="450000"/>
    <n v="26100"/>
    <n v="23490000"/>
  </r>
  <r>
    <s v="SmartPhone"/>
    <x v="4"/>
    <n v="0"/>
    <n v="0"/>
    <n v="0"/>
    <s v="Vente impossible"/>
    <n v="9500"/>
    <n v="0"/>
    <n v="0"/>
    <n v="0"/>
  </r>
  <r>
    <s v="Chocolat"/>
    <x v="5"/>
    <n v="0"/>
    <n v="0"/>
    <n v="0"/>
    <s v="Vente impossible"/>
    <n v="25"/>
    <n v="0"/>
    <n v="0"/>
    <n v="0"/>
  </r>
  <r>
    <s v="Robe"/>
    <x v="6"/>
    <n v="0"/>
    <n v="0"/>
    <n v="0"/>
    <s v="Vente impossible"/>
    <n v="17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x v="0"/>
    <x v="0"/>
    <x v="0"/>
    <x v="0"/>
    <x v="0"/>
    <s v="Houda amrani"/>
  </r>
  <r>
    <x v="1"/>
    <x v="1"/>
    <x v="1"/>
    <x v="1"/>
    <x v="1"/>
    <x v="0"/>
    <x v="1"/>
    <s v="Yasser roussi"/>
  </r>
  <r>
    <x v="2"/>
    <x v="2"/>
    <x v="2"/>
    <x v="2"/>
    <x v="2"/>
    <x v="0"/>
    <x v="1"/>
    <s v="Yasser rouss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6914B7-4FEE-41AA-AAAF-3E15860C26CB}" name="PivotTable3"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rowHeaderCaption="Article">
  <location ref="A3:C11" firstHeaderRow="0" firstDataRow="1" firstDataCol="1"/>
  <pivotFields count="10">
    <pivotField showAll="0"/>
    <pivotField axis="axisRow" showAll="0">
      <items count="16">
        <item m="1" x="8"/>
        <item m="1" x="13"/>
        <item m="1" x="14"/>
        <item m="1" x="12"/>
        <item m="1" x="10"/>
        <item m="1" x="9"/>
        <item m="1" x="7"/>
        <item m="1" x="11"/>
        <item x="0"/>
        <item x="1"/>
        <item x="2"/>
        <item x="3"/>
        <item x="4"/>
        <item x="5"/>
        <item x="6"/>
        <item t="default"/>
      </items>
    </pivotField>
    <pivotField dataField="1" showAll="0"/>
    <pivotField dataField="1" showAll="0"/>
    <pivotField showAll="0"/>
    <pivotField showAll="0"/>
    <pivotField showAll="0"/>
    <pivotField showAll="0"/>
    <pivotField showAll="0"/>
    <pivotField showAll="0"/>
  </pivotFields>
  <rowFields count="1">
    <field x="1"/>
  </rowFields>
  <rowItems count="8">
    <i>
      <x v="8"/>
    </i>
    <i>
      <x v="9"/>
    </i>
    <i>
      <x v="10"/>
    </i>
    <i>
      <x v="11"/>
    </i>
    <i>
      <x v="12"/>
    </i>
    <i>
      <x v="13"/>
    </i>
    <i>
      <x v="14"/>
    </i>
    <i t="grand">
      <x/>
    </i>
  </rowItems>
  <colFields count="1">
    <field x="-2"/>
  </colFields>
  <colItems count="2">
    <i>
      <x/>
    </i>
    <i i="1">
      <x v="1"/>
    </i>
  </colItems>
  <dataFields count="2">
    <dataField name="Quantite totale  achatee" fld="2" baseField="0" baseItem="0"/>
    <dataField name=" Quantite totale  vendu" fld="3"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899CA4-4948-42F3-8109-FE4AC740153B}" name="PivotTable1" cacheId="6"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rowHeaderCaption="Date">
  <location ref="A3:C8" firstHeaderRow="0" firstDataRow="1" firstDataCol="1"/>
  <pivotFields count="7">
    <pivotField showAll="0"/>
    <pivotField showAll="0"/>
    <pivotField showAll="0"/>
    <pivotField dataField="1" showAll="0"/>
    <pivotField dataField="1" showAll="0"/>
    <pivotField axis="axisRow" showAll="0">
      <items count="11">
        <item m="1" x="6"/>
        <item m="1" x="9"/>
        <item m="1" x="5"/>
        <item m="1" x="7"/>
        <item m="1" x="8"/>
        <item x="0"/>
        <item x="1"/>
        <item x="2"/>
        <item x="3"/>
        <item m="1" x="4"/>
        <item t="default"/>
      </items>
    </pivotField>
    <pivotField showAll="0"/>
  </pivotFields>
  <rowFields count="1">
    <field x="5"/>
  </rowFields>
  <rowItems count="5">
    <i>
      <x v="5"/>
    </i>
    <i>
      <x v="6"/>
    </i>
    <i>
      <x v="7"/>
    </i>
    <i>
      <x v="8"/>
    </i>
    <i t="grand">
      <x/>
    </i>
  </rowItems>
  <colFields count="1">
    <field x="-2"/>
  </colFields>
  <colItems count="2">
    <i>
      <x/>
    </i>
    <i i="1">
      <x v="1"/>
    </i>
  </colItems>
  <dataFields count="2">
    <dataField name="Quantite achatee" fld="3" baseField="0" baseItem="0"/>
    <dataField name=" Montant achat"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9D0D24-CF21-47DC-A7D9-C277C859D262}" name="PivotTable1" cacheId="2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A3:B4" firstHeaderRow="1" firstDataRow="1" firstDataCol="1"/>
  <pivotFields count="8">
    <pivotField showAll="0"/>
    <pivotField showAll="0">
      <items count="11">
        <item m="1" x="9"/>
        <item h="1" x="0"/>
        <item h="1" x="1"/>
        <item h="1" x="2"/>
        <item h="1" m="1" x="3"/>
        <item h="1" m="1" x="4"/>
        <item h="1" m="1" x="8"/>
        <item h="1" m="1" x="6"/>
        <item h="1" m="1" x="7"/>
        <item h="1" m="1" x="5"/>
        <item t="default"/>
      </items>
    </pivotField>
    <pivotField showAll="0"/>
    <pivotField showAll="0"/>
    <pivotField dataField="1" showAll="0"/>
    <pivotField axis="axisRow" showAll="0">
      <items count="5">
        <item m="1" x="2"/>
        <item m="1" x="1"/>
        <item x="0"/>
        <item m="1" x="3"/>
        <item t="default"/>
      </items>
    </pivotField>
    <pivotField showAll="0"/>
    <pivotField showAll="0"/>
  </pivotFields>
  <rowFields count="1">
    <field x="5"/>
  </rowFields>
  <rowItems count="1">
    <i t="grand">
      <x/>
    </i>
  </rowItems>
  <colItems count="1">
    <i/>
  </colItems>
  <dataFields count="1">
    <dataField name="Sum of Montant_vente" fld="4" baseField="5" baseItem="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EDF3FB-68C9-47ED-83A6-A162A98AC663}" name="PivotTable2" cacheId="2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7" rowHeaderCaption="Date">
  <location ref="A3:C5" firstHeaderRow="0" firstDataRow="1" firstDataCol="1"/>
  <pivotFields count="8">
    <pivotField showAll="0"/>
    <pivotField showAll="0"/>
    <pivotField showAll="0"/>
    <pivotField dataField="1" showAll="0"/>
    <pivotField dataField="1" showAll="0"/>
    <pivotField axis="axisRow" showAll="0">
      <items count="5">
        <item m="1" x="2"/>
        <item m="1" x="3"/>
        <item m="1" x="1"/>
        <item x="0"/>
        <item t="default"/>
      </items>
    </pivotField>
    <pivotField showAll="0"/>
    <pivotField showAll="0"/>
  </pivotFields>
  <rowFields count="1">
    <field x="5"/>
  </rowFields>
  <rowItems count="2">
    <i>
      <x v="3"/>
    </i>
    <i t="grand">
      <x/>
    </i>
  </rowItems>
  <colFields count="1">
    <field x="-2"/>
  </colFields>
  <colItems count="2">
    <i>
      <x/>
    </i>
    <i i="1">
      <x v="1"/>
    </i>
  </colItems>
  <dataFields count="2">
    <dataField name="Quantite vendu" fld="3" baseField="0" baseItem="0"/>
    <dataField name="Montant vente"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EF3D60-2440-4122-B5E8-650F3A218770}" name="PivotTable1" cacheId="20" applyNumberFormats="0" applyBorderFormats="0" applyFontFormats="0" applyPatternFormats="0" applyAlignmentFormats="0" applyWidthHeightFormats="1" dataCaption="Values" updatedVersion="8" minRefreshableVersion="3" useAutoFormatting="1" itemPrintTitles="1" createdVersion="7" indent="0" compact="0" outline="1" outlineData="1" compactData="0" multipleFieldFilters="0">
  <location ref="A3:A6" firstHeaderRow="1" firstDataRow="1" firstDataCol="1"/>
  <pivotFields count="8">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axis="axisRow" compact="0" showAll="0" defaultSubtotal="0">
      <items count="43">
        <item m="1" x="27"/>
        <item m="1" x="29"/>
        <item m="1" x="34"/>
        <item m="1" x="35"/>
        <item m="1" x="3"/>
        <item m="1" x="23"/>
        <item m="1" x="18"/>
        <item m="1" x="14"/>
        <item m="1" x="30"/>
        <item m="1" x="5"/>
        <item m="1" x="33"/>
        <item m="1" x="7"/>
        <item m="1" x="21"/>
        <item m="1" x="31"/>
        <item m="1" x="10"/>
        <item m="1" x="36"/>
        <item m="1" x="40"/>
        <item m="1" x="15"/>
        <item m="1" x="19"/>
        <item m="1" x="28"/>
        <item m="1" x="8"/>
        <item m="1" x="22"/>
        <item m="1" x="12"/>
        <item m="1" x="42"/>
        <item m="1" x="38"/>
        <item m="1" x="6"/>
        <item m="1" x="11"/>
        <item m="1" x="39"/>
        <item m="1" x="32"/>
        <item m="1" x="25"/>
        <item m="1" x="13"/>
        <item m="1" x="2"/>
        <item m="1" x="16"/>
        <item m="1" x="41"/>
        <item m="1" x="24"/>
        <item m="1" x="17"/>
        <item m="1" x="26"/>
        <item m="1" x="4"/>
        <item m="1" x="20"/>
        <item m="1" x="37"/>
        <item m="1" x="9"/>
        <item x="0"/>
        <item x="1"/>
      </items>
    </pivotField>
    <pivotField compact="0" subtotalTop="0" showAll="0" defaultSubtotal="0"/>
  </pivotFields>
  <rowFields count="1">
    <field x="6"/>
  </rowFields>
  <rowItems count="3">
    <i>
      <x v="41"/>
    </i>
    <i>
      <x v="42"/>
    </i>
    <i t="grand">
      <x/>
    </i>
  </rowItems>
  <colItems count="1">
    <i/>
  </colItem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A5E8AB-CF49-46AA-A1A7-4E9D7BE20A7C}" name="TCD_Facture" cacheId="2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B8:G9" firstHeaderRow="1" firstDataRow="1" firstDataCol="6" rowPageCount="1" colPageCount="1"/>
  <pivotFields count="8">
    <pivotField name="Code de l'article" axis="axisRow" compact="0" outline="0" showAll="0" defaultSubtotal="0">
      <items count="10">
        <item m="1" x="8"/>
        <item m="1" x="4"/>
        <item m="1" x="9"/>
        <item m="1" x="7"/>
        <item m="1" x="5"/>
        <item m="1" x="6"/>
        <item x="0"/>
        <item x="1"/>
        <item x="2"/>
        <item m="1" x="3"/>
      </items>
    </pivotField>
    <pivotField name="Libelle de l'article" axis="axisRow" compact="0" outline="0" showAll="0" defaultSubtotal="0">
      <items count="10">
        <item m="1" x="9"/>
        <item m="1" x="8"/>
        <item m="1" x="5"/>
        <item m="1" x="7"/>
        <item m="1" x="4"/>
        <item m="1" x="6"/>
        <item x="0"/>
        <item x="1"/>
        <item x="2"/>
        <item m="1" x="3"/>
      </items>
    </pivotField>
    <pivotField name="Prix de vente" axis="axisRow" compact="0" outline="0" showAll="0" defaultSubtotal="0">
      <items count="14">
        <item m="1" x="4"/>
        <item m="1" x="7"/>
        <item m="1" x="5"/>
        <item m="1" x="12"/>
        <item m="1" x="6"/>
        <item m="1" x="9"/>
        <item m="1" x="11"/>
        <item m="1" x="8"/>
        <item x="1"/>
        <item m="1" x="10"/>
        <item m="1" x="13"/>
        <item x="0"/>
        <item x="2"/>
        <item m="1" x="3"/>
      </items>
    </pivotField>
    <pivotField name="Quantite vendu" axis="axisRow" compact="0" outline="0" showAll="0" defaultSubtotal="0">
      <items count="17">
        <item m="1" x="4"/>
        <item m="1" x="5"/>
        <item m="1" x="13"/>
        <item m="1" x="3"/>
        <item m="1" x="12"/>
        <item m="1" x="15"/>
        <item m="1" x="16"/>
        <item m="1" x="10"/>
        <item m="1" x="14"/>
        <item m="1" x="6"/>
        <item m="1" x="8"/>
        <item x="0"/>
        <item m="1" x="7"/>
        <item m="1" x="11"/>
        <item m="1" x="9"/>
        <item x="1"/>
        <item x="2"/>
      </items>
    </pivotField>
    <pivotField name="Montant de  vente" axis="axisRow" compact="0" outline="0" showAll="0" defaultSubtotal="0">
      <items count="22">
        <item m="1" x="11"/>
        <item m="1" x="7"/>
        <item m="1" x="12"/>
        <item m="1" x="16"/>
        <item m="1" x="14"/>
        <item m="1" x="15"/>
        <item m="1" x="19"/>
        <item m="1" x="21"/>
        <item m="1" x="3"/>
        <item m="1" x="9"/>
        <item m="1" x="8"/>
        <item m="1" x="5"/>
        <item m="1" x="10"/>
        <item m="1" x="6"/>
        <item m="1" x="18"/>
        <item m="1" x="13"/>
        <item m="1" x="20"/>
        <item m="1" x="4"/>
        <item m="1" x="17"/>
        <item x="0"/>
        <item x="1"/>
        <item x="2"/>
      </items>
    </pivotField>
    <pivotField axis="axisRow" compact="0" outline="0" showAll="0" defaultSubtotal="0">
      <items count="4">
        <item m="1" x="2"/>
        <item m="1" x="3"/>
        <item m="1" x="1"/>
        <item x="0"/>
      </items>
    </pivotField>
    <pivotField name="Facture" axis="axisPage" compact="0" outline="0" showAll="0" defaultSubtotal="0">
      <items count="43">
        <item m="1" x="2"/>
        <item m="1" x="27"/>
        <item m="1" x="25"/>
        <item m="1" x="13"/>
        <item m="1" x="10"/>
        <item m="1" x="38"/>
        <item m="1" x="19"/>
        <item m="1" x="3"/>
        <item m="1" x="23"/>
        <item m="1" x="33"/>
        <item m="1" x="40"/>
        <item m="1" x="29"/>
        <item m="1" x="8"/>
        <item m="1" x="14"/>
        <item m="1" x="28"/>
        <item m="1" x="18"/>
        <item m="1" x="35"/>
        <item m="1" x="11"/>
        <item m="1" x="12"/>
        <item m="1" x="15"/>
        <item m="1" x="39"/>
        <item m="1" x="22"/>
        <item m="1" x="5"/>
        <item m="1" x="21"/>
        <item m="1" x="36"/>
        <item m="1" x="30"/>
        <item m="1" x="7"/>
        <item m="1" x="32"/>
        <item m="1" x="34"/>
        <item m="1" x="42"/>
        <item m="1" x="31"/>
        <item m="1" x="6"/>
        <item m="1" x="16"/>
        <item m="1" x="41"/>
        <item m="1" x="24"/>
        <item m="1" x="17"/>
        <item m="1" x="26"/>
        <item m="1" x="4"/>
        <item m="1" x="20"/>
        <item m="1" x="37"/>
        <item m="1" x="9"/>
        <item x="0"/>
        <item x="1"/>
      </items>
    </pivotField>
    <pivotField compact="0" outline="0" subtotalTop="0" showAll="0" defaultSubtotal="0"/>
  </pivotFields>
  <rowFields count="6">
    <field x="0"/>
    <field x="1"/>
    <field x="2"/>
    <field x="3"/>
    <field x="4"/>
    <field x="5"/>
  </rowFields>
  <rowItems count="1">
    <i>
      <x v="6"/>
      <x v="6"/>
      <x v="11"/>
      <x v="11"/>
      <x v="19"/>
      <x v="3"/>
    </i>
  </rowItems>
  <colItems count="1">
    <i/>
  </colItems>
  <pageFields count="1">
    <pageField fld="6" item="41" hier="-1"/>
  </pageFields>
  <formats count="1">
    <format dxfId="0">
      <pivotArea dataOnly="0" labelOnly="1" outline="0" fieldPosition="0">
        <references count="1">
          <reference field="6" count="1">
            <x v="1"/>
          </reference>
        </references>
      </pivotArea>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belle_article" xr10:uid="{8BD9B6AD-B2BC-4C5D-ABBF-6CB822B63F83}" sourceName="Libelle_article">
  <pivotTables>
    <pivotTable tabId="18" name="PivotTable1"/>
  </pivotTables>
  <data>
    <tabular pivotCacheId="1200444593">
      <items count="10">
        <i x="0"/>
        <i x="1"/>
        <i x="2"/>
        <i x="9" s="1" nd="1"/>
        <i x="3" nd="1"/>
        <i x="4" nd="1"/>
        <i x="8" nd="1"/>
        <i x="6" nd="1"/>
        <i x="7"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belle_article" xr10:uid="{C730AE75-5550-4BF2-AE54-4AE63A62E1EA}" cache="Slicer_Libelle_article" caption="Libelle_artic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752AAA-FF1B-42D3-B7C0-8E9F2E6C9787}" name="TableVenteMultiple" displayName="TableVenteMultiple" ref="A1:G4" totalsRowShown="0" headerRowDxfId="29" headerRowBorderDxfId="28" tableBorderDxfId="27">
  <autoFilter ref="A1:G4" xr:uid="{31752AAA-FF1B-42D3-B7C0-8E9F2E6C9787}"/>
  <tableColumns count="7">
    <tableColumn id="1" xr3:uid="{718527E1-7F30-40BA-878F-64D19E7FAC55}" name="Code_article"/>
    <tableColumn id="2" xr3:uid="{E9D99216-C2E3-47DD-88AC-4B96E9A23E6E}" name="Libelle_article"/>
    <tableColumn id="3" xr3:uid="{5D571AB5-7DE2-48A6-B64A-63F64BDDC3BC}" name="Prix_vente"/>
    <tableColumn id="4" xr3:uid="{7F7F9B06-959D-4877-B1B6-5480F9BD8871}" name="Quantite_vente"/>
    <tableColumn id="5" xr3:uid="{6F2F4EA8-9253-4893-96E7-6F232C2F9EF0}" name="Montant_vente"/>
    <tableColumn id="6" xr3:uid="{0FB829A7-A69A-4E10-B71E-71ABBFF54A90}" name="Date"/>
    <tableColumn id="7" xr3:uid="{420A27EB-7DFC-46E8-88B4-137AB58F3A32}" name="Facture"/>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19A8E9-2401-4086-9DD1-BD447202C9A8}" name="Table_article" displayName="Table_article" ref="A1:J8" totalsRowShown="0">
  <autoFilter ref="A1:J8" xr:uid="{BD19A8E9-2401-4086-9DD1-BD447202C9A8}"/>
  <tableColumns count="10">
    <tableColumn id="1" xr3:uid="{78AEEDF9-A5C3-4EFD-A392-7B8CF1FCAE03}" name="Code_article"/>
    <tableColumn id="2" xr3:uid="{5239D295-C6AD-432D-AA00-C9D3FFA8994C}" name="Libelle_article"/>
    <tableColumn id="5" xr3:uid="{EBC8D1FE-2525-4752-8EB5-1EAC451957B9}" name="Quantite_totale_achat" dataDxfId="26">
      <calculatedColumnFormula>SUMIF(Table_achat[Code_article],Table_article[[#This Row],[Code_article]],Table_achat[Quantite_achat])</calculatedColumnFormula>
    </tableColumn>
    <tableColumn id="6" xr3:uid="{08E671D1-7F4C-4643-9FC5-0E3907E4E5A9}" name="Quantite_totale_vente" dataDxfId="25">
      <calculatedColumnFormula>SUMIF(Table_vente[Code_article],Table_article[[#This Row],[Code_article]],Table_vente[Quantite_vente])</calculatedColumnFormula>
    </tableColumn>
    <tableColumn id="7" xr3:uid="{19BA5F1D-06E7-4C7E-B2F5-CE13913DFF2D}" name="Quantite_stock">
      <calculatedColumnFormula>Table_article[[#This Row],[Quantite_totale_achat]]-Table_article[[#This Row],[Quantite_totale_vente]]</calculatedColumnFormula>
    </tableColumn>
    <tableColumn id="3" xr3:uid="{29D0AAA0-FE39-48BD-8C9E-D5086A42D6F6}" name="Status" dataDxfId="24">
      <calculatedColumnFormula>IF(Table_article[[#This Row],[Quantite_stock]]&gt;0,"Vente possible","Vente impossible")</calculatedColumnFormula>
    </tableColumn>
    <tableColumn id="4" xr3:uid="{C2B14CBC-47A5-4899-8AB0-35281503DC53}" name="Prix_vente" dataDxfId="23"/>
    <tableColumn id="8" xr3:uid="{4338384A-D01C-467B-A23B-1465A37EC3C2}" name="Montant_achat" dataDxfId="22">
      <calculatedColumnFormula>SUMIF(Table_achat[Code_article],Table_article[[#This Row],[Code_article]],Table_achat[Montant_achat])</calculatedColumnFormula>
    </tableColumn>
    <tableColumn id="9" xr3:uid="{3A81FA1C-F1DD-4EF9-9312-8E38311A9A64}" name="Montant_vente" dataDxfId="21">
      <calculatedColumnFormula>SUMIF(Table_vente[Code_article],Table_article[[#This Row],[Code_article]],Table_vente[Montant_vente])</calculatedColumnFormula>
    </tableColumn>
    <tableColumn id="10" xr3:uid="{4C679AED-6435-4917-82C5-957266AAAEF8}" name="Valeur du stock" dataDxfId="20">
      <calculatedColumnFormula>IFERROR(Table_article[[#This Row],[Prix_vente]]*Table_article[[#This Row],[Montant_vente]],0)</calculatedColumnFormula>
    </tableColumn>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54F04C-7EAF-4786-9FA8-4196A42E1960}" name="Table_achat" displayName="Table_achat" ref="A1:G5" totalsRowShown="0" headerRowDxfId="19" dataDxfId="18">
  <autoFilter ref="A1:G5" xr:uid="{D154F04C-7EAF-4786-9FA8-4196A42E1960}"/>
  <tableColumns count="7">
    <tableColumn id="1" xr3:uid="{2A9ED675-FB88-4605-8C23-AAEA84BA764F}" name="Code_article" dataDxfId="17"/>
    <tableColumn id="2" xr3:uid="{50272CB7-CF69-4E0D-9FC1-471753C04C45}" name="Libelle_article" dataDxfId="16"/>
    <tableColumn id="3" xr3:uid="{EEB33883-FEA7-4367-8CCC-AA270B1C3592}" name="Prix_achat" dataDxfId="15"/>
    <tableColumn id="4" xr3:uid="{1160A313-9090-461A-849A-B725B1C560AE}" name="Quantite_achat" dataDxfId="14"/>
    <tableColumn id="5" xr3:uid="{6E3AEA9D-5CE8-4B20-947F-F3E8349DDC61}" name="Montant_achat" dataDxfId="13"/>
    <tableColumn id="6" xr3:uid="{BE4D48A8-3930-4CB6-9B39-D676CEA4E50B}" name="Date" dataDxfId="12"/>
    <tableColumn id="7" xr3:uid="{70010FB7-2E46-4FEA-8EED-9097927FA00B}" name="Fournisseur" dataDxfId="11"/>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8F7274-0441-4F85-A57A-D3813C1FA206}" name="Table_Client_fournisseur" displayName="Table_Client_fournisseur" ref="A1:F9" totalsRowShown="0">
  <autoFilter ref="A1:F9" xr:uid="{3B8F7274-0441-4F85-A57A-D3813C1FA206}"/>
  <tableColumns count="6">
    <tableColumn id="1" xr3:uid="{50C0F1C2-BB06-4F16-8CD4-E25DA4163E6B}" name="Nom et prenom"/>
    <tableColumn id="6" xr3:uid="{5C97D613-8178-4CE9-A84B-AEFD2A433F1D}" name="Type"/>
    <tableColumn id="2" xr3:uid="{89A0F9E7-2CBB-41A8-89EC-2A0A934B385E}" name="Contact"/>
    <tableColumn id="3" xr3:uid="{41B009AE-078C-43BD-B372-CAB830E4BAB9}" name="Email"/>
    <tableColumn id="4" xr3:uid="{9C400809-DEDE-46AA-AC7F-BB71E1F0DC6A}" name="Ville"/>
    <tableColumn id="5" xr3:uid="{73FE212C-F3B0-465B-86C3-8ED664C50ADB}" name="Adresse"/>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CA8F21-8F94-400A-8F64-219598DB5AD0}" name="Table_vente" displayName="Table_vente" ref="A1:H4" totalsRowShown="0" headerRowDxfId="10" dataDxfId="9">
  <autoFilter ref="A1:H4" xr:uid="{36CA8F21-8F94-400A-8F64-219598DB5AD0}"/>
  <tableColumns count="8">
    <tableColumn id="1" xr3:uid="{65B9729B-24E0-4CC1-8D0E-0BA2447FDCD9}" name="Code_article" dataDxfId="8"/>
    <tableColumn id="2" xr3:uid="{44F1C712-D284-4F6B-A1C4-E8AEEC55B2B8}" name="Libelle_article" dataDxfId="7"/>
    <tableColumn id="3" xr3:uid="{AC8907F0-FF76-4048-85F8-4E6BD7C06813}" name="Prix_vente" dataDxfId="6"/>
    <tableColumn id="4" xr3:uid="{7282539F-136B-4956-B70C-961FA8143142}" name="Quantite_vente" dataDxfId="5"/>
    <tableColumn id="5" xr3:uid="{A5A541E0-284A-4B23-A852-83FC35E9880F}" name="Montant_vente" dataDxfId="4"/>
    <tableColumn id="6" xr3:uid="{46033714-F27E-4831-B600-38ED313886B9}" name="Date" dataDxfId="3"/>
    <tableColumn id="7" xr3:uid="{97B37292-C612-4FB9-B5F8-FDB19D7D8EBD}" name="Facture" dataDxfId="2"/>
    <tableColumn id="8" xr3:uid="{258E2442-922E-4E86-8472-5201D1D492F6}" name="Client" dataDxfId="1"/>
  </tableColumns>
  <tableStyleInfo name="TableStyleLight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6A018-D88A-497C-A4FC-E7906B090CF1}" name="Table_devis" displayName="Table_devis" ref="A1:H3" totalsRowShown="0">
  <autoFilter ref="A1:H3" xr:uid="{49E6A018-D88A-497C-A4FC-E7906B090CF1}"/>
  <tableColumns count="8">
    <tableColumn id="1" xr3:uid="{9A57BE83-8F52-4AE6-82A0-17A412575081}" name="Numero du devis"/>
    <tableColumn id="2" xr3:uid="{FC6CEB83-A45F-47D4-A88E-02F1A42CD571}" name="Montant du devis"/>
    <tableColumn id="3" xr3:uid="{757F3DCA-2E35-42D3-82CE-A17B48DC9A4C}" name="Date d'emission"/>
    <tableColumn id="4" xr3:uid="{1260DF0F-9035-45DA-8765-42B2F957C6EB}" name="Status du devis"/>
    <tableColumn id="5" xr3:uid="{88F21A6C-4B43-491F-876E-0CFCE72C1E41}" name="Date de validation du devis"/>
    <tableColumn id="6" xr3:uid="{D6B3EFE1-1303-411A-9D48-9A79DA703319}" name="Numero de commande"/>
    <tableColumn id="7" xr3:uid="{6A82C00D-8766-4B43-8FAB-EE90784F2361}" name="Client"/>
    <tableColumn id="8" xr3:uid="{3C6F2D89-DB06-4588-A37D-AF9343F80F26}" name="Commentaire"/>
  </tableColumns>
  <tableStyleInfo name="TableStyleLight10"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07/relationships/slicer" Target="../slicers/slicer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ivotTable" Target="../pivotTables/pivotTable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66715-46BC-4D16-AA21-95DF303428F6}">
  <sheetPr codeName="Accueil">
    <tabColor rgb="FF7030A0"/>
  </sheetPr>
  <dimension ref="B3:Z25"/>
  <sheetViews>
    <sheetView tabSelected="1" topLeftCell="A3" zoomScale="55" zoomScaleNormal="55" workbookViewId="0">
      <selection activeCell="G5" sqref="G5"/>
    </sheetView>
  </sheetViews>
  <sheetFormatPr defaultRowHeight="15" x14ac:dyDescent="0.25"/>
  <cols>
    <col min="1" max="16384" width="9.140625" style="9"/>
  </cols>
  <sheetData>
    <row r="3" spans="2:26" ht="33.75" x14ac:dyDescent="0.5">
      <c r="B3" s="8"/>
      <c r="D3" s="10"/>
      <c r="K3" s="20" t="s">
        <v>22</v>
      </c>
    </row>
    <row r="7" spans="2:26" ht="15.75" thickBot="1" x14ac:dyDescent="0.3"/>
    <row r="8" spans="2:26" ht="15" customHeight="1" x14ac:dyDescent="0.4">
      <c r="H8" s="36" t="s">
        <v>57</v>
      </c>
      <c r="I8" s="37"/>
      <c r="J8" s="37"/>
      <c r="K8" s="38"/>
      <c r="L8" s="21"/>
      <c r="M8" s="48" t="s">
        <v>58</v>
      </c>
      <c r="N8" s="49"/>
      <c r="O8" s="49"/>
      <c r="P8" s="50"/>
      <c r="Q8" s="22"/>
      <c r="R8" s="60" t="s">
        <v>56</v>
      </c>
      <c r="S8" s="61"/>
      <c r="T8" s="61"/>
      <c r="U8" s="62"/>
      <c r="V8" s="22"/>
      <c r="W8" s="24" t="s">
        <v>59</v>
      </c>
      <c r="X8" s="25"/>
      <c r="Y8" s="25"/>
      <c r="Z8" s="26"/>
    </row>
    <row r="9" spans="2:26" ht="15" customHeight="1" x14ac:dyDescent="0.4">
      <c r="H9" s="39"/>
      <c r="I9" s="40"/>
      <c r="J9" s="40"/>
      <c r="K9" s="41"/>
      <c r="L9" s="21"/>
      <c r="M9" s="51"/>
      <c r="N9" s="52"/>
      <c r="O9" s="52"/>
      <c r="P9" s="53"/>
      <c r="Q9" s="22"/>
      <c r="R9" s="63"/>
      <c r="S9" s="64"/>
      <c r="T9" s="64"/>
      <c r="U9" s="65"/>
      <c r="V9" s="22"/>
      <c r="W9" s="27"/>
      <c r="X9" s="28"/>
      <c r="Y9" s="28"/>
      <c r="Z9" s="29"/>
    </row>
    <row r="10" spans="2:26" ht="15" customHeight="1" x14ac:dyDescent="0.4">
      <c r="H10" s="42">
        <f>SUM(Donnees_vente!E:E)</f>
        <v>82900</v>
      </c>
      <c r="I10" s="43"/>
      <c r="J10" s="43"/>
      <c r="K10" s="44"/>
      <c r="L10" s="21"/>
      <c r="M10" s="54">
        <f>SUM(Donnees_Achat!E:E)</f>
        <v>6700000</v>
      </c>
      <c r="N10" s="55"/>
      <c r="O10" s="55"/>
      <c r="P10" s="56"/>
      <c r="Q10" s="23"/>
      <c r="R10" s="66">
        <f>SUM(Donnees_articles!J:J)</f>
        <v>135050000</v>
      </c>
      <c r="S10" s="67"/>
      <c r="T10" s="67"/>
      <c r="U10" s="68"/>
      <c r="V10" s="23"/>
      <c r="W10" s="30">
        <f>H10+R10-M10</f>
        <v>128432900</v>
      </c>
      <c r="X10" s="31"/>
      <c r="Y10" s="31"/>
      <c r="Z10" s="32"/>
    </row>
    <row r="11" spans="2:26" ht="15" customHeight="1" x14ac:dyDescent="0.4">
      <c r="H11" s="42"/>
      <c r="I11" s="43"/>
      <c r="J11" s="43"/>
      <c r="K11" s="44"/>
      <c r="L11" s="21"/>
      <c r="M11" s="54"/>
      <c r="N11" s="55"/>
      <c r="O11" s="55"/>
      <c r="P11" s="56"/>
      <c r="Q11" s="23"/>
      <c r="R11" s="66"/>
      <c r="S11" s="67"/>
      <c r="T11" s="67"/>
      <c r="U11" s="68"/>
      <c r="V11" s="23"/>
      <c r="W11" s="30"/>
      <c r="X11" s="31"/>
      <c r="Y11" s="31"/>
      <c r="Z11" s="32"/>
    </row>
    <row r="12" spans="2:26" ht="15.75" customHeight="1" x14ac:dyDescent="0.4">
      <c r="H12" s="42"/>
      <c r="I12" s="43"/>
      <c r="J12" s="43"/>
      <c r="K12" s="44"/>
      <c r="L12" s="21"/>
      <c r="M12" s="54"/>
      <c r="N12" s="55"/>
      <c r="O12" s="55"/>
      <c r="P12" s="56"/>
      <c r="Q12" s="23"/>
      <c r="R12" s="66"/>
      <c r="S12" s="67"/>
      <c r="T12" s="67"/>
      <c r="U12" s="68"/>
      <c r="V12" s="23"/>
      <c r="W12" s="30"/>
      <c r="X12" s="31"/>
      <c r="Y12" s="31"/>
      <c r="Z12" s="32"/>
    </row>
    <row r="13" spans="2:26" ht="15.75" thickBot="1" x14ac:dyDescent="0.3">
      <c r="H13" s="45"/>
      <c r="I13" s="46"/>
      <c r="J13" s="46"/>
      <c r="K13" s="47"/>
      <c r="M13" s="57"/>
      <c r="N13" s="58"/>
      <c r="O13" s="58"/>
      <c r="P13" s="59"/>
      <c r="R13" s="69"/>
      <c r="S13" s="70"/>
      <c r="T13" s="70"/>
      <c r="U13" s="71"/>
      <c r="W13" s="33"/>
      <c r="X13" s="34"/>
      <c r="Y13" s="34"/>
      <c r="Z13" s="35"/>
    </row>
    <row r="21" spans="16:20" ht="15" customHeight="1" x14ac:dyDescent="0.4">
      <c r="P21" s="21"/>
      <c r="Q21" s="21"/>
      <c r="R21" s="21"/>
      <c r="S21" s="21"/>
      <c r="T21" s="21"/>
    </row>
    <row r="22" spans="16:20" ht="15" customHeight="1" x14ac:dyDescent="0.4">
      <c r="P22" s="21"/>
      <c r="Q22" s="21"/>
      <c r="R22" s="21"/>
      <c r="S22" s="21"/>
      <c r="T22" s="21"/>
    </row>
    <row r="23" spans="16:20" ht="15" customHeight="1" x14ac:dyDescent="0.4">
      <c r="P23" s="21"/>
      <c r="Q23" s="21"/>
      <c r="R23" s="21"/>
      <c r="S23" s="21"/>
      <c r="T23" s="21"/>
    </row>
    <row r="24" spans="16:20" ht="15" customHeight="1" x14ac:dyDescent="0.4">
      <c r="P24" s="21"/>
      <c r="Q24" s="21"/>
      <c r="R24" s="21"/>
      <c r="S24" s="21"/>
      <c r="T24" s="21"/>
    </row>
    <row r="25" spans="16:20" ht="15.75" customHeight="1" x14ac:dyDescent="0.4">
      <c r="P25" s="21"/>
      <c r="Q25" s="21"/>
      <c r="R25" s="21"/>
      <c r="S25" s="21"/>
      <c r="T25" s="21"/>
    </row>
  </sheetData>
  <mergeCells count="8">
    <mergeCell ref="W8:Z9"/>
    <mergeCell ref="W10:Z13"/>
    <mergeCell ref="H8:K9"/>
    <mergeCell ref="H10:K13"/>
    <mergeCell ref="M8:P9"/>
    <mergeCell ref="M10:P13"/>
    <mergeCell ref="R8:U9"/>
    <mergeCell ref="R10:U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enuDonneesVentes">
                <anchor moveWithCells="1" sizeWithCells="1">
                  <from>
                    <xdr:col>0</xdr:col>
                    <xdr:colOff>581025</xdr:colOff>
                    <xdr:row>6</xdr:row>
                    <xdr:rowOff>19050</xdr:rowOff>
                  </from>
                  <to>
                    <xdr:col>5</xdr:col>
                    <xdr:colOff>0</xdr:colOff>
                    <xdr:row>8</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MenuDonneesAchats">
                <anchor moveWithCells="1" sizeWithCells="1">
                  <from>
                    <xdr:col>0</xdr:col>
                    <xdr:colOff>571500</xdr:colOff>
                    <xdr:row>10</xdr:row>
                    <xdr:rowOff>47625</xdr:rowOff>
                  </from>
                  <to>
                    <xdr:col>5</xdr:col>
                    <xdr:colOff>0</xdr:colOff>
                    <xdr:row>13</xdr:row>
                    <xdr:rowOff>9525</xdr:rowOff>
                  </to>
                </anchor>
              </controlPr>
            </control>
          </mc:Choice>
        </mc:AlternateContent>
        <mc:AlternateContent xmlns:mc="http://schemas.openxmlformats.org/markup-compatibility/2006">
          <mc:Choice Requires="x14">
            <control shapeId="1031" r:id="rId6" name="Button 7">
              <controlPr defaultSize="0" print="0" autoFill="0" autoPict="0" macro="[0]!MenuDonneesArticles">
                <anchor moveWithCells="1" sizeWithCells="1">
                  <from>
                    <xdr:col>0</xdr:col>
                    <xdr:colOff>561975</xdr:colOff>
                    <xdr:row>14</xdr:row>
                    <xdr:rowOff>85725</xdr:rowOff>
                  </from>
                  <to>
                    <xdr:col>4</xdr:col>
                    <xdr:colOff>561975</xdr:colOff>
                    <xdr:row>17</xdr:row>
                    <xdr:rowOff>28575</xdr:rowOff>
                  </to>
                </anchor>
              </controlPr>
            </control>
          </mc:Choice>
        </mc:AlternateContent>
        <mc:AlternateContent xmlns:mc="http://schemas.openxmlformats.org/markup-compatibility/2006">
          <mc:Choice Requires="x14">
            <control shapeId="1032" r:id="rId7" name="Button 8">
              <controlPr defaultSize="0" print="0" autoFill="0" autoPict="0" macro="[0]!MenuClientsFournisseurs">
                <anchor moveWithCells="1" sizeWithCells="1">
                  <from>
                    <xdr:col>0</xdr:col>
                    <xdr:colOff>533400</xdr:colOff>
                    <xdr:row>26</xdr:row>
                    <xdr:rowOff>180975</xdr:rowOff>
                  </from>
                  <to>
                    <xdr:col>4</xdr:col>
                    <xdr:colOff>542925</xdr:colOff>
                    <xdr:row>29</xdr:row>
                    <xdr:rowOff>114300</xdr:rowOff>
                  </to>
                </anchor>
              </controlPr>
            </control>
          </mc:Choice>
        </mc:AlternateContent>
        <mc:AlternateContent xmlns:mc="http://schemas.openxmlformats.org/markup-compatibility/2006">
          <mc:Choice Requires="x14">
            <control shapeId="1033" r:id="rId8" name="Button 9">
              <controlPr defaultSize="0" print="0" autoFill="0" autoPict="0" macro="[0]!MenuFacturation">
                <anchor moveWithCells="1" sizeWithCells="1">
                  <from>
                    <xdr:col>0</xdr:col>
                    <xdr:colOff>552450</xdr:colOff>
                    <xdr:row>18</xdr:row>
                    <xdr:rowOff>171450</xdr:rowOff>
                  </from>
                  <to>
                    <xdr:col>4</xdr:col>
                    <xdr:colOff>571500</xdr:colOff>
                    <xdr:row>21</xdr:row>
                    <xdr:rowOff>85725</xdr:rowOff>
                  </to>
                </anchor>
              </controlPr>
            </control>
          </mc:Choice>
        </mc:AlternateContent>
        <mc:AlternateContent xmlns:mc="http://schemas.openxmlformats.org/markup-compatibility/2006">
          <mc:Choice Requires="x14">
            <control shapeId="1034" r:id="rId9" name="Button 10">
              <controlPr defaultSize="0" print="0" autoFill="0" autoPict="0" macro="[0]!MenuDashboard">
                <anchor moveWithCells="1" sizeWithCells="1">
                  <from>
                    <xdr:col>0</xdr:col>
                    <xdr:colOff>552450</xdr:colOff>
                    <xdr:row>22</xdr:row>
                    <xdr:rowOff>180975</xdr:rowOff>
                  </from>
                  <to>
                    <xdr:col>4</xdr:col>
                    <xdr:colOff>571500</xdr:colOff>
                    <xdr:row>25</xdr:row>
                    <xdr:rowOff>104775</xdr:rowOff>
                  </to>
                </anchor>
              </controlPr>
            </control>
          </mc:Choice>
        </mc:AlternateContent>
        <mc:AlternateContent xmlns:mc="http://schemas.openxmlformats.org/markup-compatibility/2006">
          <mc:Choice Requires="x14">
            <control shapeId="1035" r:id="rId10" name="Button 11">
              <controlPr defaultSize="0" print="0" autoFill="0" autoPict="0" macro="[0]!MenuDevis">
                <anchor moveWithCells="1" sizeWithCells="1">
                  <from>
                    <xdr:col>0</xdr:col>
                    <xdr:colOff>533400</xdr:colOff>
                    <xdr:row>31</xdr:row>
                    <xdr:rowOff>47625</xdr:rowOff>
                  </from>
                  <to>
                    <xdr:col>4</xdr:col>
                    <xdr:colOff>542925</xdr:colOff>
                    <xdr:row>33</xdr:row>
                    <xdr:rowOff>152400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277A9-1D7A-4C99-927A-D926A7A5987E}">
  <sheetPr codeName="Dashboard">
    <tabColor theme="7" tint="-0.249977111117893"/>
  </sheetPr>
  <dimension ref="A1"/>
  <sheetViews>
    <sheetView workbookViewId="0">
      <selection activeCell="Q29" sqref="Q29"/>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ccueilDisplay">
                <anchor moveWithCells="1" sizeWithCells="1">
                  <from>
                    <xdr:col>16</xdr:col>
                    <xdr:colOff>581025</xdr:colOff>
                    <xdr:row>3</xdr:row>
                    <xdr:rowOff>0</xdr:rowOff>
                  </from>
                  <to>
                    <xdr:col>20</xdr:col>
                    <xdr:colOff>600075</xdr:colOff>
                    <xdr:row>5</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AD1F3-F5DD-4A48-968E-1549290EC729}">
  <sheetPr codeName="PVT_Article">
    <tabColor theme="8"/>
  </sheetPr>
  <dimension ref="A3:C11"/>
  <sheetViews>
    <sheetView workbookViewId="0">
      <selection activeCell="C10" sqref="C10"/>
    </sheetView>
  </sheetViews>
  <sheetFormatPr defaultRowHeight="15" x14ac:dyDescent="0.25"/>
  <cols>
    <col min="1" max="1" width="11.28515625" bestFit="1" customWidth="1"/>
    <col min="2" max="2" width="22.85546875" bestFit="1" customWidth="1"/>
    <col min="3" max="3" width="21.85546875" bestFit="1" customWidth="1"/>
  </cols>
  <sheetData>
    <row r="3" spans="1:3" x14ac:dyDescent="0.25">
      <c r="A3" s="11" t="s">
        <v>30</v>
      </c>
      <c r="B3" t="s">
        <v>28</v>
      </c>
      <c r="C3" t="s">
        <v>29</v>
      </c>
    </row>
    <row r="4" spans="1:3" x14ac:dyDescent="0.25">
      <c r="A4" s="12" t="s">
        <v>63</v>
      </c>
      <c r="B4" s="6">
        <v>500</v>
      </c>
      <c r="C4" s="6">
        <v>0</v>
      </c>
    </row>
    <row r="5" spans="1:3" x14ac:dyDescent="0.25">
      <c r="A5" s="12" t="s">
        <v>65</v>
      </c>
      <c r="B5" s="6">
        <v>1500</v>
      </c>
      <c r="C5" s="6">
        <v>4</v>
      </c>
    </row>
    <row r="6" spans="1:3" x14ac:dyDescent="0.25">
      <c r="A6" s="12" t="s">
        <v>67</v>
      </c>
      <c r="B6" s="6">
        <v>400</v>
      </c>
      <c r="C6" s="6">
        <v>25</v>
      </c>
    </row>
    <row r="7" spans="1:3" x14ac:dyDescent="0.25">
      <c r="A7" s="12" t="s">
        <v>69</v>
      </c>
      <c r="B7" s="6">
        <v>90</v>
      </c>
      <c r="C7" s="6">
        <v>29</v>
      </c>
    </row>
    <row r="8" spans="1:3" x14ac:dyDescent="0.25">
      <c r="A8" s="12" t="s">
        <v>71</v>
      </c>
      <c r="B8" s="6">
        <v>0</v>
      </c>
      <c r="C8" s="6">
        <v>0</v>
      </c>
    </row>
    <row r="9" spans="1:3" x14ac:dyDescent="0.25">
      <c r="A9" s="12" t="s">
        <v>73</v>
      </c>
      <c r="B9" s="6">
        <v>0</v>
      </c>
      <c r="C9" s="6">
        <v>0</v>
      </c>
    </row>
    <row r="10" spans="1:3" x14ac:dyDescent="0.25">
      <c r="A10" s="12" t="s">
        <v>75</v>
      </c>
      <c r="B10" s="6">
        <v>0</v>
      </c>
      <c r="C10" s="6">
        <v>0</v>
      </c>
    </row>
    <row r="11" spans="1:3" x14ac:dyDescent="0.25">
      <c r="A11" s="12" t="s">
        <v>23</v>
      </c>
      <c r="B11" s="6">
        <v>2490</v>
      </c>
      <c r="C11" s="6">
        <v>58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F6BDE-F7C2-4C94-BF71-6BB2EA6C5E9D}">
  <sheetPr codeName="Donnees_Vente_multiple"/>
  <dimension ref="A1:G4"/>
  <sheetViews>
    <sheetView workbookViewId="0">
      <selection activeCell="G1" sqref="G1"/>
    </sheetView>
  </sheetViews>
  <sheetFormatPr defaultRowHeight="15" x14ac:dyDescent="0.25"/>
  <cols>
    <col min="1" max="1" width="14.140625" customWidth="1"/>
    <col min="2" max="2" width="15.5703125" customWidth="1"/>
    <col min="3" max="3" width="12.28515625" customWidth="1"/>
    <col min="4" max="4" width="16.28515625" customWidth="1"/>
    <col min="5" max="5" width="16" customWidth="1"/>
    <col min="7" max="7" width="9.7109375" customWidth="1"/>
  </cols>
  <sheetData>
    <row r="1" spans="1:7" ht="15.75" x14ac:dyDescent="0.25">
      <c r="A1" s="14" t="s">
        <v>0</v>
      </c>
      <c r="B1" s="14" t="s">
        <v>1</v>
      </c>
      <c r="C1" s="14" t="s">
        <v>5</v>
      </c>
      <c r="D1" s="14" t="s">
        <v>6</v>
      </c>
      <c r="E1" s="14" t="s">
        <v>8</v>
      </c>
      <c r="F1" s="14" t="s">
        <v>7</v>
      </c>
      <c r="G1" s="14" t="s">
        <v>31</v>
      </c>
    </row>
    <row r="2" spans="1:7" x14ac:dyDescent="0.25">
      <c r="F2" s="15"/>
    </row>
    <row r="3" spans="1:7" x14ac:dyDescent="0.25">
      <c r="F3" s="15"/>
    </row>
    <row r="4" spans="1:7" x14ac:dyDescent="0.25">
      <c r="F4" s="1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9D95B-7BD1-4361-8F0A-E88BBDF24E06}">
  <sheetPr codeName="Donnees_articles">
    <tabColor theme="4" tint="0.39997558519241921"/>
  </sheetPr>
  <dimension ref="A1:J8"/>
  <sheetViews>
    <sheetView zoomScale="85" zoomScaleNormal="85" workbookViewId="0">
      <selection activeCell="J2" sqref="J2"/>
    </sheetView>
  </sheetViews>
  <sheetFormatPr defaultRowHeight="15" x14ac:dyDescent="0.25"/>
  <cols>
    <col min="1" max="1" width="14.28515625" customWidth="1"/>
    <col min="2" max="4" width="16.7109375" customWidth="1"/>
    <col min="5" max="6" width="23" customWidth="1"/>
    <col min="7" max="7" width="23.42578125" customWidth="1"/>
    <col min="8" max="8" width="23.5703125" customWidth="1"/>
    <col min="9" max="9" width="18.140625" customWidth="1"/>
    <col min="10" max="10" width="18.7109375" customWidth="1"/>
  </cols>
  <sheetData>
    <row r="1" spans="1:10" x14ac:dyDescent="0.25">
      <c r="A1" t="s">
        <v>0</v>
      </c>
      <c r="B1" t="s">
        <v>1</v>
      </c>
      <c r="C1" t="s">
        <v>3</v>
      </c>
      <c r="D1" t="s">
        <v>2</v>
      </c>
      <c r="E1" t="s">
        <v>11</v>
      </c>
      <c r="F1" t="s">
        <v>15</v>
      </c>
      <c r="G1" t="s">
        <v>5</v>
      </c>
      <c r="H1" t="s">
        <v>10</v>
      </c>
      <c r="I1" t="s">
        <v>8</v>
      </c>
      <c r="J1" t="s">
        <v>56</v>
      </c>
    </row>
    <row r="2" spans="1:10" x14ac:dyDescent="0.25">
      <c r="A2" t="s">
        <v>62</v>
      </c>
      <c r="B2" t="s">
        <v>63</v>
      </c>
      <c r="C2" s="6">
        <f>SUMIF(Table_achat[Code_article],Table_article[[#This Row],[Code_article]],Table_achat[Quantite_achat])</f>
        <v>500</v>
      </c>
      <c r="D2" s="6">
        <f>SUMIF(Table_vente[Code_article],Table_article[[#This Row],[Code_article]],Table_vente[Quantite_vente])</f>
        <v>0</v>
      </c>
      <c r="E2">
        <f>Table_article[[#This Row],[Quantite_totale_achat]]-Table_article[[#This Row],[Quantite_totale_vente]]</f>
        <v>500</v>
      </c>
      <c r="F2" s="6" t="str">
        <f>IF(Table_article[[#This Row],[Quantite_stock]]&gt;0,"Vente possible","Vente impossible")</f>
        <v>Vente possible</v>
      </c>
      <c r="G2" s="6">
        <v>50</v>
      </c>
      <c r="H2" s="6">
        <f>SUMIF(Table_achat[Code_article],Table_article[[#This Row],[Code_article]],Table_achat[Montant_achat])</f>
        <v>100000</v>
      </c>
      <c r="I2" s="6">
        <f>SUMIF(Table_vente[Code_article],Table_article[[#This Row],[Code_article]],Table_vente[Montant_vente])</f>
        <v>0</v>
      </c>
      <c r="J2" s="6">
        <f>IFERROR(Table_article[[#This Row],[Prix_vente]]*Table_article[[#This Row],[Montant_vente]],0)</f>
        <v>0</v>
      </c>
    </row>
    <row r="3" spans="1:10" x14ac:dyDescent="0.25">
      <c r="A3" t="s">
        <v>64</v>
      </c>
      <c r="B3" t="s">
        <v>65</v>
      </c>
      <c r="C3" s="6">
        <f>SUMIF(Table_achat[Code_article],Table_article[[#This Row],[Code_article]],Table_achat[Quantite_achat])</f>
        <v>1500</v>
      </c>
      <c r="D3" s="6">
        <f>SUMIF(Table_vente[Code_article],Table_article[[#This Row],[Code_article]],Table_vente[Quantite_vente])</f>
        <v>4</v>
      </c>
      <c r="E3">
        <f>Table_article[[#This Row],[Quantite_totale_achat]]-Table_article[[#This Row],[Quantite_totale_vente]]</f>
        <v>1496</v>
      </c>
      <c r="F3" s="6" t="str">
        <f>IF(Table_article[[#This Row],[Quantite_stock]]&gt;0,"Vente possible","Vente impossible")</f>
        <v>Vente possible</v>
      </c>
      <c r="G3" s="6">
        <v>1700</v>
      </c>
      <c r="H3" s="6">
        <f>SUMIF(Table_achat[Code_article],Table_article[[#This Row],[Code_article]],Table_achat[Montant_achat])</f>
        <v>3750000</v>
      </c>
      <c r="I3" s="6">
        <f>SUMIF(Table_vente[Code_article],Table_article[[#This Row],[Code_article]],Table_vente[Montant_vente])</f>
        <v>6800</v>
      </c>
      <c r="J3" s="6">
        <f>IFERROR(Table_article[[#This Row],[Prix_vente]]*Table_article[[#This Row],[Montant_vente]],0)</f>
        <v>11560000</v>
      </c>
    </row>
    <row r="4" spans="1:10" x14ac:dyDescent="0.25">
      <c r="A4" t="s">
        <v>66</v>
      </c>
      <c r="B4" t="s">
        <v>67</v>
      </c>
      <c r="C4" s="6">
        <f>SUMIF(Table_achat[Code_article],Table_article[[#This Row],[Code_article]],Table_achat[Quantite_achat])</f>
        <v>400</v>
      </c>
      <c r="D4" s="6">
        <f>SUMIF(Table_vente[Code_article],Table_article[[#This Row],[Code_article]],Table_vente[Quantite_vente])</f>
        <v>25</v>
      </c>
      <c r="E4">
        <f>Table_article[[#This Row],[Quantite_totale_achat]]-Table_article[[#This Row],[Quantite_totale_vente]]</f>
        <v>375</v>
      </c>
      <c r="F4" s="6" t="str">
        <f>IF(Table_article[[#This Row],[Quantite_stock]]&gt;0,"Vente possible","Vente impossible")</f>
        <v>Vente possible</v>
      </c>
      <c r="G4" s="6">
        <v>2000</v>
      </c>
      <c r="H4" s="6">
        <f>SUMIF(Table_achat[Code_article],Table_article[[#This Row],[Code_article]],Table_achat[Montant_achat])</f>
        <v>2400000</v>
      </c>
      <c r="I4" s="6">
        <f>SUMIF(Table_vente[Code_article],Table_article[[#This Row],[Code_article]],Table_vente[Montant_vente])</f>
        <v>50000</v>
      </c>
      <c r="J4" s="6">
        <f>IFERROR(Table_article[[#This Row],[Prix_vente]]*Table_article[[#This Row],[Montant_vente]],0)</f>
        <v>100000000</v>
      </c>
    </row>
    <row r="5" spans="1:10" x14ac:dyDescent="0.25">
      <c r="A5" t="s">
        <v>68</v>
      </c>
      <c r="B5" t="s">
        <v>69</v>
      </c>
      <c r="C5" s="6">
        <f>SUMIF(Table_achat[Code_article],Table_article[[#This Row],[Code_article]],Table_achat[Quantite_achat])</f>
        <v>90</v>
      </c>
      <c r="D5" s="6">
        <f>SUMIF(Table_vente[Code_article],Table_article[[#This Row],[Code_article]],Table_vente[Quantite_vente])</f>
        <v>29</v>
      </c>
      <c r="E5">
        <f>Table_article[[#This Row],[Quantite_totale_achat]]-Table_article[[#This Row],[Quantite_totale_vente]]</f>
        <v>61</v>
      </c>
      <c r="F5" s="6" t="str">
        <f>IF(Table_article[[#This Row],[Quantite_stock]]&gt;0,"Vente possible","Vente impossible")</f>
        <v>Vente possible</v>
      </c>
      <c r="G5" s="6">
        <v>900</v>
      </c>
      <c r="H5" s="6">
        <f>SUMIF(Table_achat[Code_article],Table_article[[#This Row],[Code_article]],Table_achat[Montant_achat])</f>
        <v>450000</v>
      </c>
      <c r="I5" s="6">
        <f>SUMIF(Table_vente[Code_article],Table_article[[#This Row],[Code_article]],Table_vente[Montant_vente])</f>
        <v>26100</v>
      </c>
      <c r="J5" s="6">
        <f>IFERROR(Table_article[[#This Row],[Prix_vente]]*Table_article[[#This Row],[Montant_vente]],0)</f>
        <v>23490000</v>
      </c>
    </row>
    <row r="6" spans="1:10" x14ac:dyDescent="0.25">
      <c r="A6" t="s">
        <v>70</v>
      </c>
      <c r="B6" t="s">
        <v>71</v>
      </c>
      <c r="C6" s="6">
        <f>SUMIF(Table_achat[Code_article],Table_article[[#This Row],[Code_article]],Table_achat[Quantite_achat])</f>
        <v>0</v>
      </c>
      <c r="D6" s="6">
        <f>SUMIF(Table_vente[Code_article],Table_article[[#This Row],[Code_article]],Table_vente[Quantite_vente])</f>
        <v>0</v>
      </c>
      <c r="E6">
        <f>Table_article[[#This Row],[Quantite_totale_achat]]-Table_article[[#This Row],[Quantite_totale_vente]]</f>
        <v>0</v>
      </c>
      <c r="F6" s="6" t="str">
        <f>IF(Table_article[[#This Row],[Quantite_stock]]&gt;0,"Vente possible","Vente impossible")</f>
        <v>Vente impossible</v>
      </c>
      <c r="G6" s="6">
        <v>9500</v>
      </c>
      <c r="H6" s="6">
        <f>SUMIF(Table_achat[Code_article],Table_article[[#This Row],[Code_article]],Table_achat[Montant_achat])</f>
        <v>0</v>
      </c>
      <c r="I6" s="6">
        <f>SUMIF(Table_vente[Code_article],Table_article[[#This Row],[Code_article]],Table_vente[Montant_vente])</f>
        <v>0</v>
      </c>
      <c r="J6" s="6">
        <f>IFERROR(Table_article[[#This Row],[Prix_vente]]*Table_article[[#This Row],[Montant_vente]],0)</f>
        <v>0</v>
      </c>
    </row>
    <row r="7" spans="1:10" x14ac:dyDescent="0.25">
      <c r="A7" t="s">
        <v>72</v>
      </c>
      <c r="B7" t="s">
        <v>73</v>
      </c>
      <c r="C7" s="6">
        <f>SUMIF(Table_achat[Code_article],Table_article[[#This Row],[Code_article]],Table_achat[Quantite_achat])</f>
        <v>0</v>
      </c>
      <c r="D7" s="6">
        <f>SUMIF(Table_vente[Code_article],Table_article[[#This Row],[Code_article]],Table_vente[Quantite_vente])</f>
        <v>0</v>
      </c>
      <c r="E7">
        <f>Table_article[[#This Row],[Quantite_totale_achat]]-Table_article[[#This Row],[Quantite_totale_vente]]</f>
        <v>0</v>
      </c>
      <c r="F7" s="6" t="str">
        <f>IF(Table_article[[#This Row],[Quantite_stock]]&gt;0,"Vente possible","Vente impossible")</f>
        <v>Vente impossible</v>
      </c>
      <c r="G7" s="6">
        <v>25</v>
      </c>
      <c r="H7" s="6">
        <f>SUMIF(Table_achat[Code_article],Table_article[[#This Row],[Code_article]],Table_achat[Montant_achat])</f>
        <v>0</v>
      </c>
      <c r="I7" s="6">
        <f>SUMIF(Table_vente[Code_article],Table_article[[#This Row],[Code_article]],Table_vente[Montant_vente])</f>
        <v>0</v>
      </c>
      <c r="J7" s="6">
        <f>IFERROR(Table_article[[#This Row],[Prix_vente]]*Table_article[[#This Row],[Montant_vente]],0)</f>
        <v>0</v>
      </c>
    </row>
    <row r="8" spans="1:10" x14ac:dyDescent="0.25">
      <c r="A8" t="s">
        <v>74</v>
      </c>
      <c r="B8" t="s">
        <v>75</v>
      </c>
      <c r="C8" s="6">
        <f>SUMIF(Table_achat[Code_article],Table_article[[#This Row],[Code_article]],Table_achat[Quantite_achat])</f>
        <v>0</v>
      </c>
      <c r="D8" s="6">
        <f>SUMIF(Table_vente[Code_article],Table_article[[#This Row],[Code_article]],Table_vente[Quantite_vente])</f>
        <v>0</v>
      </c>
      <c r="E8">
        <f>Table_article[[#This Row],[Quantite_totale_achat]]-Table_article[[#This Row],[Quantite_totale_vente]]</f>
        <v>0</v>
      </c>
      <c r="F8" s="6" t="str">
        <f>IF(Table_article[[#This Row],[Quantite_stock]]&gt;0,"Vente possible","Vente impossible")</f>
        <v>Vente impossible</v>
      </c>
      <c r="G8" s="6">
        <v>170</v>
      </c>
      <c r="H8" s="6">
        <f>SUMIF(Table_achat[Code_article],Table_article[[#This Row],[Code_article]],Table_achat[Montant_achat])</f>
        <v>0</v>
      </c>
      <c r="I8" s="6">
        <f>SUMIF(Table_vente[Code_article],Table_article[[#This Row],[Code_article]],Table_vente[Montant_vente])</f>
        <v>0</v>
      </c>
      <c r="J8" s="6">
        <f>IFERROR(Table_article[[#This Row],[Prix_vente]]*Table_article[[#This Row],[Montant_vente]],0)</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2AE2-01F6-4B04-88DF-2CA66F8CCC15}">
  <sheetPr codeName="Parametres"/>
  <dimension ref="A1:I4"/>
  <sheetViews>
    <sheetView workbookViewId="0">
      <selection activeCell="I4" sqref="I4"/>
    </sheetView>
  </sheetViews>
  <sheetFormatPr defaultRowHeight="15" x14ac:dyDescent="0.25"/>
  <cols>
    <col min="1" max="1" width="10.7109375" customWidth="1"/>
    <col min="2" max="2" width="11.7109375" customWidth="1"/>
    <col min="5" max="5" width="18.42578125" customWidth="1"/>
    <col min="6" max="6" width="16.5703125" customWidth="1"/>
    <col min="7" max="7" width="25.140625" customWidth="1"/>
    <col min="8" max="8" width="23.5703125" customWidth="1"/>
    <col min="9" max="9" width="15.7109375" customWidth="1"/>
  </cols>
  <sheetData>
    <row r="1" spans="1:9" ht="18.75" x14ac:dyDescent="0.3">
      <c r="A1" s="3" t="s">
        <v>12</v>
      </c>
      <c r="B1" s="3">
        <v>6000</v>
      </c>
      <c r="E1" s="5" t="s">
        <v>18</v>
      </c>
      <c r="F1" s="5" t="s">
        <v>16</v>
      </c>
      <c r="G1" s="5" t="s">
        <v>19</v>
      </c>
      <c r="H1" s="5" t="s">
        <v>15</v>
      </c>
      <c r="I1" s="5" t="s">
        <v>17</v>
      </c>
    </row>
    <row r="2" spans="1:9" ht="18.75" x14ac:dyDescent="0.3">
      <c r="A2" s="3" t="s">
        <v>13</v>
      </c>
      <c r="B2" s="3">
        <v>400</v>
      </c>
      <c r="E2" s="2" t="s">
        <v>74</v>
      </c>
      <c r="F2">
        <f>IFERROR(VLOOKUP(E2, Table_article[], 5, FALSE),"")</f>
        <v>0</v>
      </c>
      <c r="G2">
        <v>40</v>
      </c>
      <c r="H2" t="str">
        <f>IFERROR(VLOOKUP(E2,Table_article[],6,FALSE),"")</f>
        <v>Vente impossible</v>
      </c>
      <c r="I2" t="str">
        <f>IF(OR(Cal_Qte_Stock &lt; Cal_Qte_Vente, Cal_Status = "Vente impossible"), "No", "Yes")</f>
        <v>No</v>
      </c>
    </row>
    <row r="3" spans="1:9" ht="18.75" x14ac:dyDescent="0.3">
      <c r="A3" s="3" t="s">
        <v>14</v>
      </c>
      <c r="B3" s="3">
        <f>prix_1*quantite_1</f>
        <v>2400000</v>
      </c>
      <c r="E3" s="7" t="s">
        <v>20</v>
      </c>
      <c r="F3" s="7">
        <v>40</v>
      </c>
    </row>
    <row r="4" spans="1:9" x14ac:dyDescent="0.25">
      <c r="E4" s="7" t="s">
        <v>21</v>
      </c>
      <c r="F4" s="7">
        <f>F3+Cal_Qte_Stock</f>
        <v>40</v>
      </c>
      <c r="H4" t="str">
        <f>IF(Cal_Qte_Stock_Modifie&gt;0,"Vente possible","Vente impossible")</f>
        <v>Vente possible</v>
      </c>
      <c r="I4" t="str">
        <f>IF(OR(Cal_Qte_Stock_Modifie &lt; Cal_Qte_Vente, Cal_Status = "Vente impossible"), "No", "Yes")</f>
        <v>No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68D8D-E7D8-4C89-BD7C-70E5561E298D}">
  <sheetPr codeName="PVT_Achat">
    <tabColor theme="9"/>
  </sheetPr>
  <dimension ref="A3:C8"/>
  <sheetViews>
    <sheetView workbookViewId="0">
      <selection activeCell="M18" sqref="M18"/>
    </sheetView>
  </sheetViews>
  <sheetFormatPr defaultRowHeight="15" x14ac:dyDescent="0.25"/>
  <cols>
    <col min="1" max="1" width="11.28515625" bestFit="1" customWidth="1"/>
    <col min="2" max="2" width="16.42578125" bestFit="1" customWidth="1"/>
    <col min="3" max="3" width="14.42578125" bestFit="1" customWidth="1"/>
  </cols>
  <sheetData>
    <row r="3" spans="1:3" x14ac:dyDescent="0.25">
      <c r="A3" s="11" t="s">
        <v>7</v>
      </c>
      <c r="B3" t="s">
        <v>26</v>
      </c>
      <c r="C3" t="s">
        <v>27</v>
      </c>
    </row>
    <row r="4" spans="1:3" x14ac:dyDescent="0.25">
      <c r="A4" s="13">
        <v>45573</v>
      </c>
      <c r="B4" s="6">
        <v>500</v>
      </c>
      <c r="C4" s="6">
        <v>100000</v>
      </c>
    </row>
    <row r="5" spans="1:3" x14ac:dyDescent="0.25">
      <c r="A5" s="13">
        <v>45607</v>
      </c>
      <c r="B5" s="6">
        <v>90</v>
      </c>
      <c r="C5" s="6">
        <v>450000</v>
      </c>
    </row>
    <row r="6" spans="1:3" x14ac:dyDescent="0.25">
      <c r="A6" s="13">
        <v>45114</v>
      </c>
      <c r="B6" s="6">
        <v>400</v>
      </c>
      <c r="C6" s="6">
        <v>2400000</v>
      </c>
    </row>
    <row r="7" spans="1:3" x14ac:dyDescent="0.25">
      <c r="A7" s="13">
        <v>45575</v>
      </c>
      <c r="B7" s="6">
        <v>1500</v>
      </c>
      <c r="C7" s="6">
        <v>3750000</v>
      </c>
    </row>
    <row r="8" spans="1:3" x14ac:dyDescent="0.25">
      <c r="A8" s="12" t="s">
        <v>23</v>
      </c>
      <c r="B8" s="6">
        <v>2490</v>
      </c>
      <c r="C8" s="6">
        <v>6700000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BA995-9907-4E99-AE25-FF3F0E7CC283}">
  <sheetPr codeName="Donnees_Achat">
    <tabColor rgb="FF00B050"/>
  </sheetPr>
  <dimension ref="A1:G5"/>
  <sheetViews>
    <sheetView workbookViewId="0">
      <selection activeCell="C23" sqref="C23"/>
    </sheetView>
  </sheetViews>
  <sheetFormatPr defaultRowHeight="15" x14ac:dyDescent="0.25"/>
  <cols>
    <col min="1" max="1" width="17.5703125" customWidth="1"/>
    <col min="2" max="2" width="15.42578125" customWidth="1"/>
    <col min="3" max="3" width="18.7109375" customWidth="1"/>
    <col min="4" max="5" width="20" customWidth="1"/>
    <col min="6" max="6" width="13.140625" customWidth="1"/>
    <col min="7" max="7" width="16.28515625" customWidth="1"/>
  </cols>
  <sheetData>
    <row r="1" spans="1:7" ht="15.75" x14ac:dyDescent="0.25">
      <c r="A1" s="1" t="s">
        <v>0</v>
      </c>
      <c r="B1" s="1" t="s">
        <v>1</v>
      </c>
      <c r="C1" s="1" t="s">
        <v>4</v>
      </c>
      <c r="D1" s="1" t="s">
        <v>9</v>
      </c>
      <c r="E1" s="1" t="s">
        <v>10</v>
      </c>
      <c r="F1" s="1" t="s">
        <v>7</v>
      </c>
      <c r="G1" s="1" t="s">
        <v>46</v>
      </c>
    </row>
    <row r="2" spans="1:7" ht="15.75" x14ac:dyDescent="0.25">
      <c r="A2" s="1" t="s">
        <v>62</v>
      </c>
      <c r="B2" s="1" t="s">
        <v>63</v>
      </c>
      <c r="C2" s="1">
        <v>200</v>
      </c>
      <c r="D2" s="1">
        <v>500</v>
      </c>
      <c r="E2" s="1">
        <v>100000</v>
      </c>
      <c r="F2" s="4">
        <v>45573</v>
      </c>
      <c r="G2" s="1" t="s">
        <v>76</v>
      </c>
    </row>
    <row r="3" spans="1:7" x14ac:dyDescent="0.25">
      <c r="A3" t="s">
        <v>68</v>
      </c>
      <c r="B3" t="s">
        <v>69</v>
      </c>
      <c r="C3">
        <v>5000</v>
      </c>
      <c r="D3">
        <v>90</v>
      </c>
      <c r="E3">
        <v>450000</v>
      </c>
      <c r="F3" s="15">
        <v>45607</v>
      </c>
      <c r="G3" t="s">
        <v>84</v>
      </c>
    </row>
    <row r="4" spans="1:7" ht="15.75" x14ac:dyDescent="0.25">
      <c r="A4" s="1" t="s">
        <v>66</v>
      </c>
      <c r="B4" s="1" t="s">
        <v>67</v>
      </c>
      <c r="C4" s="1">
        <v>6000</v>
      </c>
      <c r="D4" s="1">
        <v>400</v>
      </c>
      <c r="E4" s="1">
        <v>2400000</v>
      </c>
      <c r="F4" s="4">
        <v>45114</v>
      </c>
      <c r="G4" s="1" t="s">
        <v>88</v>
      </c>
    </row>
    <row r="5" spans="1:7" ht="15.75" x14ac:dyDescent="0.25">
      <c r="A5" s="1" t="s">
        <v>64</v>
      </c>
      <c r="B5" s="1" t="s">
        <v>65</v>
      </c>
      <c r="C5" s="1">
        <v>2500</v>
      </c>
      <c r="D5" s="1">
        <v>1500</v>
      </c>
      <c r="E5" s="1">
        <v>3750000</v>
      </c>
      <c r="F5" s="4">
        <v>45575</v>
      </c>
      <c r="G5" s="1" t="s">
        <v>80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A574-5E12-42F8-B98A-97FCD98B9DCD}">
  <sheetPr codeName="Sheet1"/>
  <dimension ref="A3:B4"/>
  <sheetViews>
    <sheetView workbookViewId="0">
      <selection activeCell="M17" sqref="M17"/>
    </sheetView>
  </sheetViews>
  <sheetFormatPr defaultRowHeight="15" x14ac:dyDescent="0.25"/>
  <cols>
    <col min="1" max="1" width="13.140625" bestFit="1" customWidth="1"/>
    <col min="2" max="2" width="21.85546875" bestFit="1" customWidth="1"/>
  </cols>
  <sheetData>
    <row r="3" spans="1:2" x14ac:dyDescent="0.25">
      <c r="A3" s="11" t="s">
        <v>60</v>
      </c>
      <c r="B3" t="s">
        <v>61</v>
      </c>
    </row>
    <row r="4" spans="1:2" x14ac:dyDescent="0.25">
      <c r="A4" s="12" t="s">
        <v>23</v>
      </c>
      <c r="B4" s="6"/>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3CA83-4890-42CF-AD03-B0F7AC1C3FBE}">
  <sheetPr codeName="Client_fournisseur">
    <tabColor rgb="FFFFFF00"/>
  </sheetPr>
  <dimension ref="A1:F9"/>
  <sheetViews>
    <sheetView workbookViewId="0">
      <selection activeCell="A9" sqref="A9"/>
    </sheetView>
  </sheetViews>
  <sheetFormatPr defaultRowHeight="15" x14ac:dyDescent="0.25"/>
  <cols>
    <col min="1" max="1" width="19.28515625" customWidth="1"/>
    <col min="3" max="3" width="11.5703125" customWidth="1"/>
    <col min="4" max="4" width="12.42578125" customWidth="1"/>
    <col min="6" max="6" width="13.28515625" customWidth="1"/>
  </cols>
  <sheetData>
    <row r="1" spans="1:6" x14ac:dyDescent="0.25">
      <c r="A1" t="s">
        <v>40</v>
      </c>
      <c r="B1" t="s">
        <v>45</v>
      </c>
      <c r="C1" t="s">
        <v>41</v>
      </c>
      <c r="D1" t="s">
        <v>42</v>
      </c>
      <c r="E1" t="s">
        <v>43</v>
      </c>
      <c r="F1" t="s">
        <v>44</v>
      </c>
    </row>
    <row r="2" spans="1:6" x14ac:dyDescent="0.25">
      <c r="A2" t="s">
        <v>76</v>
      </c>
      <c r="B2" t="s">
        <v>46</v>
      </c>
      <c r="C2">
        <v>612345678</v>
      </c>
      <c r="D2" t="s">
        <v>77</v>
      </c>
      <c r="E2" t="s">
        <v>78</v>
      </c>
      <c r="F2" t="s">
        <v>79</v>
      </c>
    </row>
    <row r="3" spans="1:6" x14ac:dyDescent="0.25">
      <c r="A3" t="s">
        <v>80</v>
      </c>
      <c r="B3" t="s">
        <v>46</v>
      </c>
      <c r="C3">
        <v>91234556</v>
      </c>
      <c r="D3" t="s">
        <v>81</v>
      </c>
      <c r="E3" t="s">
        <v>82</v>
      </c>
      <c r="F3" t="s">
        <v>83</v>
      </c>
    </row>
    <row r="4" spans="1:6" x14ac:dyDescent="0.25">
      <c r="A4" t="s">
        <v>84</v>
      </c>
      <c r="B4" t="s">
        <v>46</v>
      </c>
      <c r="C4">
        <v>98645678</v>
      </c>
      <c r="D4" t="s">
        <v>85</v>
      </c>
      <c r="E4" t="s">
        <v>86</v>
      </c>
      <c r="F4" t="s">
        <v>87</v>
      </c>
    </row>
    <row r="5" spans="1:6" x14ac:dyDescent="0.25">
      <c r="A5" t="s">
        <v>88</v>
      </c>
      <c r="B5" t="s">
        <v>46</v>
      </c>
      <c r="C5">
        <v>9875678</v>
      </c>
      <c r="D5" t="s">
        <v>89</v>
      </c>
      <c r="E5" t="s">
        <v>90</v>
      </c>
      <c r="F5" t="s">
        <v>91</v>
      </c>
    </row>
    <row r="6" spans="1:6" x14ac:dyDescent="0.25">
      <c r="A6" t="s">
        <v>92</v>
      </c>
      <c r="B6" t="s">
        <v>47</v>
      </c>
      <c r="C6">
        <v>56789009</v>
      </c>
      <c r="D6" t="s">
        <v>93</v>
      </c>
      <c r="E6" t="s">
        <v>94</v>
      </c>
      <c r="F6" t="s">
        <v>95</v>
      </c>
    </row>
    <row r="7" spans="1:6" x14ac:dyDescent="0.25">
      <c r="A7" t="s">
        <v>96</v>
      </c>
      <c r="B7" t="s">
        <v>47</v>
      </c>
      <c r="C7">
        <v>87678876</v>
      </c>
      <c r="D7" t="s">
        <v>97</v>
      </c>
      <c r="E7" t="s">
        <v>98</v>
      </c>
      <c r="F7" t="s">
        <v>99</v>
      </c>
    </row>
    <row r="8" spans="1:6" x14ac:dyDescent="0.25">
      <c r="A8" t="s">
        <v>100</v>
      </c>
      <c r="B8" t="s">
        <v>47</v>
      </c>
      <c r="C8">
        <v>96789987</v>
      </c>
      <c r="D8" t="s">
        <v>101</v>
      </c>
      <c r="E8" t="s">
        <v>94</v>
      </c>
      <c r="F8" t="s">
        <v>102</v>
      </c>
    </row>
    <row r="9" spans="1:6" x14ac:dyDescent="0.25">
      <c r="A9" t="s">
        <v>103</v>
      </c>
      <c r="B9" t="s">
        <v>47</v>
      </c>
      <c r="C9">
        <v>6789098</v>
      </c>
      <c r="D9" t="s">
        <v>104</v>
      </c>
      <c r="E9" t="s">
        <v>78</v>
      </c>
      <c r="F9" t="s">
        <v>105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1DD68-A628-4456-BDDC-1CEACF3ED74D}">
  <sheetPr codeName="Donnees_vente">
    <tabColor theme="5" tint="0.39997558519241921"/>
  </sheetPr>
  <dimension ref="A1:H4"/>
  <sheetViews>
    <sheetView workbookViewId="0">
      <selection activeCell="H2" sqref="H2"/>
    </sheetView>
  </sheetViews>
  <sheetFormatPr defaultRowHeight="15" x14ac:dyDescent="0.25"/>
  <cols>
    <col min="1" max="1" width="17.140625" customWidth="1"/>
    <col min="2" max="2" width="18.5703125" customWidth="1"/>
    <col min="3" max="3" width="16.5703125" customWidth="1"/>
    <col min="4" max="4" width="17.140625" customWidth="1"/>
    <col min="5" max="5" width="16.85546875" customWidth="1"/>
    <col min="6" max="6" width="13.7109375" customWidth="1"/>
    <col min="7" max="7" width="18.85546875" customWidth="1"/>
    <col min="8" max="8" width="17.42578125" customWidth="1"/>
  </cols>
  <sheetData>
    <row r="1" spans="1:8" ht="15.75" x14ac:dyDescent="0.25">
      <c r="A1" s="1" t="s">
        <v>0</v>
      </c>
      <c r="B1" s="1" t="s">
        <v>1</v>
      </c>
      <c r="C1" s="1" t="s">
        <v>5</v>
      </c>
      <c r="D1" s="1" t="s">
        <v>6</v>
      </c>
      <c r="E1" s="1" t="s">
        <v>8</v>
      </c>
      <c r="F1" s="1" t="s">
        <v>7</v>
      </c>
      <c r="G1" s="1" t="s">
        <v>31</v>
      </c>
      <c r="H1" s="1" t="s">
        <v>47</v>
      </c>
    </row>
    <row r="2" spans="1:8" ht="15.75" x14ac:dyDescent="0.25">
      <c r="A2" s="1" t="s">
        <v>64</v>
      </c>
      <c r="B2" s="1" t="s">
        <v>65</v>
      </c>
      <c r="C2" s="1">
        <v>1700</v>
      </c>
      <c r="D2" s="1">
        <v>4</v>
      </c>
      <c r="E2" s="1">
        <v>6800</v>
      </c>
      <c r="F2" s="4">
        <v>45625</v>
      </c>
      <c r="G2" s="1" t="s">
        <v>106</v>
      </c>
      <c r="H2" s="1" t="s">
        <v>96</v>
      </c>
    </row>
    <row r="3" spans="1:8" ht="15.75" x14ac:dyDescent="0.25">
      <c r="A3" s="1" t="s">
        <v>66</v>
      </c>
      <c r="B3" s="1" t="s">
        <v>67</v>
      </c>
      <c r="C3" s="1">
        <v>2000</v>
      </c>
      <c r="D3" s="1">
        <v>25</v>
      </c>
      <c r="E3" s="1">
        <v>50000</v>
      </c>
      <c r="F3" s="4">
        <v>45625</v>
      </c>
      <c r="G3" s="1" t="s">
        <v>107</v>
      </c>
      <c r="H3" s="1" t="s">
        <v>92</v>
      </c>
    </row>
    <row r="4" spans="1:8" ht="15.75" x14ac:dyDescent="0.25">
      <c r="A4" s="1" t="s">
        <v>68</v>
      </c>
      <c r="B4" s="1" t="s">
        <v>69</v>
      </c>
      <c r="C4" s="1">
        <v>900</v>
      </c>
      <c r="D4" s="1">
        <v>29</v>
      </c>
      <c r="E4" s="1">
        <v>26100</v>
      </c>
      <c r="F4" s="4">
        <v>45625</v>
      </c>
      <c r="G4" s="1" t="s">
        <v>107</v>
      </c>
      <c r="H4" s="1" t="s">
        <v>92</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A8BC4-F11B-43E3-8F03-4C12A321D260}">
  <sheetPr codeName="PVT_Vente">
    <tabColor theme="5" tint="0.59999389629810485"/>
  </sheetPr>
  <dimension ref="A3:C5"/>
  <sheetViews>
    <sheetView workbookViewId="0">
      <selection activeCell="A4" sqref="A4"/>
    </sheetView>
  </sheetViews>
  <sheetFormatPr defaultRowHeight="15" x14ac:dyDescent="0.25"/>
  <cols>
    <col min="1" max="1" width="11.28515625" bestFit="1" customWidth="1"/>
    <col min="2" max="2" width="15" bestFit="1" customWidth="1"/>
    <col min="3" max="3" width="14.42578125" bestFit="1" customWidth="1"/>
  </cols>
  <sheetData>
    <row r="3" spans="1:3" x14ac:dyDescent="0.25">
      <c r="A3" s="11" t="s">
        <v>7</v>
      </c>
      <c r="B3" t="s">
        <v>24</v>
      </c>
      <c r="C3" t="s">
        <v>25</v>
      </c>
    </row>
    <row r="4" spans="1:3" x14ac:dyDescent="0.25">
      <c r="A4" s="13">
        <v>45625</v>
      </c>
      <c r="B4" s="6">
        <v>58</v>
      </c>
      <c r="C4" s="6">
        <v>82900</v>
      </c>
    </row>
    <row r="5" spans="1:3" x14ac:dyDescent="0.25">
      <c r="A5" s="12" t="s">
        <v>23</v>
      </c>
      <c r="B5" s="6">
        <v>58</v>
      </c>
      <c r="C5" s="6">
        <v>82900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730A-E94E-4E46-9FD2-C7359BD1684B}">
  <sheetPr codeName="Devis">
    <tabColor rgb="FFFF0000"/>
  </sheetPr>
  <dimension ref="A1:H3"/>
  <sheetViews>
    <sheetView workbookViewId="0">
      <selection activeCell="C2" sqref="C2"/>
    </sheetView>
  </sheetViews>
  <sheetFormatPr defaultRowHeight="15" x14ac:dyDescent="0.25"/>
  <cols>
    <col min="1" max="1" width="18.28515625" customWidth="1"/>
    <col min="2" max="2" width="18.5703125" customWidth="1"/>
    <col min="3" max="3" width="17.28515625" customWidth="1"/>
    <col min="4" max="4" width="17.5703125" customWidth="1"/>
    <col min="5" max="5" width="27.140625" customWidth="1"/>
    <col min="6" max="6" width="23.42578125" customWidth="1"/>
    <col min="8" max="8" width="15.28515625" customWidth="1"/>
  </cols>
  <sheetData>
    <row r="1" spans="1:8" x14ac:dyDescent="0.25">
      <c r="A1" t="s">
        <v>50</v>
      </c>
      <c r="B1" t="s">
        <v>51</v>
      </c>
      <c r="C1" t="s">
        <v>48</v>
      </c>
      <c r="D1" t="s">
        <v>49</v>
      </c>
      <c r="E1" t="s">
        <v>52</v>
      </c>
      <c r="F1" t="s">
        <v>53</v>
      </c>
      <c r="G1" t="s">
        <v>47</v>
      </c>
      <c r="H1" t="s">
        <v>54</v>
      </c>
    </row>
    <row r="2" spans="1:8" x14ac:dyDescent="0.25">
      <c r="A2" t="s">
        <v>111</v>
      </c>
      <c r="B2">
        <v>7890</v>
      </c>
      <c r="C2" s="15">
        <v>45171</v>
      </c>
      <c r="D2" t="s">
        <v>55</v>
      </c>
      <c r="E2" t="s">
        <v>112</v>
      </c>
      <c r="F2" t="s">
        <v>113</v>
      </c>
      <c r="G2" t="s">
        <v>96</v>
      </c>
    </row>
    <row r="3" spans="1:8" x14ac:dyDescent="0.25">
      <c r="A3" t="s">
        <v>108</v>
      </c>
      <c r="B3">
        <v>70000</v>
      </c>
      <c r="C3" s="15">
        <v>45635</v>
      </c>
      <c r="D3" t="s">
        <v>109</v>
      </c>
      <c r="F3" t="s">
        <v>110</v>
      </c>
      <c r="G3" t="s">
        <v>100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F4A58-CCE6-4E3C-9F46-CE2FC71934A1}">
  <sheetPr codeName="Liste_facture">
    <tabColor rgb="FF92D050"/>
  </sheetPr>
  <dimension ref="A3:E10"/>
  <sheetViews>
    <sheetView workbookViewId="0">
      <selection activeCell="A4" sqref="A4"/>
    </sheetView>
  </sheetViews>
  <sheetFormatPr defaultRowHeight="15" x14ac:dyDescent="0.25"/>
  <cols>
    <col min="1" max="1" width="19.85546875" bestFit="1" customWidth="1"/>
    <col min="4" max="4" width="20.42578125" customWidth="1"/>
    <col min="5" max="5" width="21.85546875" customWidth="1"/>
  </cols>
  <sheetData>
    <row r="3" spans="1:5" x14ac:dyDescent="0.25">
      <c r="A3" s="11" t="s">
        <v>31</v>
      </c>
    </row>
    <row r="4" spans="1:5" x14ac:dyDescent="0.25">
      <c r="A4" t="s">
        <v>106</v>
      </c>
    </row>
    <row r="5" spans="1:5" x14ac:dyDescent="0.25">
      <c r="A5" t="s">
        <v>107</v>
      </c>
    </row>
    <row r="6" spans="1:5" x14ac:dyDescent="0.25">
      <c r="A6" t="s">
        <v>23</v>
      </c>
    </row>
    <row r="10" spans="1:5" x14ac:dyDescent="0.25">
      <c r="D10" s="18" t="s">
        <v>39</v>
      </c>
      <c r="E10" s="19" t="s">
        <v>106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rimerFactureSelectionnee">
                <anchor moveWithCells="1" sizeWithCells="1">
                  <from>
                    <xdr:col>3</xdr:col>
                    <xdr:colOff>0</xdr:colOff>
                    <xdr:row>12</xdr:row>
                    <xdr:rowOff>171450</xdr:rowOff>
                  </from>
                  <to>
                    <xdr:col>5</xdr:col>
                    <xdr:colOff>9525</xdr:colOff>
                    <xdr:row>14</xdr:row>
                    <xdr:rowOff>180975</xdr:rowOff>
                  </to>
                </anchor>
              </controlPr>
            </control>
          </mc:Choice>
        </mc:AlternateContent>
        <mc:AlternateContent xmlns:mc="http://schemas.openxmlformats.org/markup-compatibility/2006">
          <mc:Choice Requires="x14">
            <control shapeId="12290" r:id="rId5" name="Button 2">
              <controlPr defaultSize="0" print="0" autoFill="0" autoPict="0" macro="[0]!AccueilDisplay">
                <anchor moveWithCells="1" sizeWithCells="1">
                  <from>
                    <xdr:col>9</xdr:col>
                    <xdr:colOff>590550</xdr:colOff>
                    <xdr:row>10</xdr:row>
                    <xdr:rowOff>123825</xdr:rowOff>
                  </from>
                  <to>
                    <xdr:col>14</xdr:col>
                    <xdr:colOff>0</xdr:colOff>
                    <xdr:row>13</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E0F0-C702-48A0-8D29-983B176A1C96}">
  <sheetPr codeName="Etat_facture">
    <tabColor rgb="FF00B0F0"/>
  </sheetPr>
  <dimension ref="B2:L31"/>
  <sheetViews>
    <sheetView showGridLines="0" view="pageLayout" zoomScale="81" zoomScaleNormal="100" zoomScalePageLayoutView="81" workbookViewId="0">
      <selection activeCell="J22" sqref="J22"/>
    </sheetView>
  </sheetViews>
  <sheetFormatPr defaultRowHeight="15" x14ac:dyDescent="0.25"/>
  <cols>
    <col min="2" max="2" width="18.42578125" customWidth="1"/>
    <col min="3" max="3" width="16" bestFit="1" customWidth="1"/>
    <col min="4" max="4" width="12.85546875" bestFit="1" customWidth="1"/>
    <col min="5" max="5" width="17.42578125" bestFit="1" customWidth="1"/>
    <col min="6" max="6" width="17.28515625" bestFit="1" customWidth="1"/>
    <col min="7" max="7" width="11.42578125" bestFit="1" customWidth="1"/>
    <col min="10" max="11" width="9.140625" customWidth="1"/>
    <col min="12" max="12" width="9.140625" hidden="1" customWidth="1"/>
  </cols>
  <sheetData>
    <row r="2" spans="2:7" x14ac:dyDescent="0.25">
      <c r="E2" s="16" t="s">
        <v>32</v>
      </c>
      <c r="F2" s="7">
        <f>SUM(E9:E1000)</f>
        <v>4</v>
      </c>
    </row>
    <row r="3" spans="2:7" x14ac:dyDescent="0.25">
      <c r="E3" s="16" t="s">
        <v>33</v>
      </c>
      <c r="F3" s="7">
        <f>SUM(F9:F1000)</f>
        <v>6800</v>
      </c>
    </row>
    <row r="6" spans="2:7" x14ac:dyDescent="0.25">
      <c r="B6" s="11" t="s">
        <v>31</v>
      </c>
      <c r="C6" t="s">
        <v>106</v>
      </c>
    </row>
    <row r="8" spans="2:7" x14ac:dyDescent="0.25">
      <c r="B8" s="11" t="s">
        <v>34</v>
      </c>
      <c r="C8" s="11" t="s">
        <v>35</v>
      </c>
      <c r="D8" s="11" t="s">
        <v>36</v>
      </c>
      <c r="E8" s="11" t="s">
        <v>24</v>
      </c>
      <c r="F8" s="11" t="s">
        <v>37</v>
      </c>
      <c r="G8" s="11" t="s">
        <v>7</v>
      </c>
    </row>
    <row r="9" spans="2:7" x14ac:dyDescent="0.25">
      <c r="B9" t="s">
        <v>64</v>
      </c>
      <c r="C9" t="s">
        <v>65</v>
      </c>
      <c r="D9">
        <v>1700</v>
      </c>
      <c r="E9">
        <v>4</v>
      </c>
      <c r="F9">
        <v>6800</v>
      </c>
      <c r="G9" s="15">
        <v>45625</v>
      </c>
    </row>
    <row r="30" spans="8:8" ht="21" x14ac:dyDescent="0.35">
      <c r="H30" s="17" t="s">
        <v>38</v>
      </c>
    </row>
    <row r="31" spans="8:8" ht="123" customHeight="1" x14ac:dyDescent="0.25"/>
  </sheetData>
  <pageMargins left="0.7" right="0.7" top="0.75" bottom="0.75" header="0.3" footer="0.3"/>
  <pageSetup paperSize="9" scale="85" orientation="landscape" r:id="rId2"/>
  <headerFooter>
    <oddHeader>&amp;L&amp;D&amp;C&amp;"-,Bold"&amp;22&amp;KFF0000FACTURE CLIENT&amp;R&amp;P</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Accueil</vt:lpstr>
      <vt:lpstr>Dashboard</vt:lpstr>
      <vt:lpstr>PVT_Article</vt:lpstr>
      <vt:lpstr>Donnees_Vente_multiple</vt:lpstr>
      <vt:lpstr>Donnees_articles</vt:lpstr>
      <vt:lpstr>Parametres</vt:lpstr>
      <vt:lpstr>PVT_Achat</vt:lpstr>
      <vt:lpstr>Donnees_Achat</vt:lpstr>
      <vt:lpstr>TCDF_vente</vt:lpstr>
      <vt:lpstr>Client_fournisseur</vt:lpstr>
      <vt:lpstr>Donnees_vente</vt:lpstr>
      <vt:lpstr>PVT_Vente</vt:lpstr>
      <vt:lpstr>Devis</vt:lpstr>
      <vt:lpstr>Liste_facture</vt:lpstr>
      <vt:lpstr>Etat_facture</vt:lpstr>
      <vt:lpstr>Cal_Code_Produit</vt:lpstr>
      <vt:lpstr>Cal_Qte_A_Modif</vt:lpstr>
      <vt:lpstr>Cal_Qte_Stock</vt:lpstr>
      <vt:lpstr>Cal_Qte_Stock_Modifie</vt:lpstr>
      <vt:lpstr>Cal_Qte_Vente</vt:lpstr>
      <vt:lpstr>Cal_Status</vt:lpstr>
      <vt:lpstr>Cal_Status_Modif</vt:lpstr>
      <vt:lpstr>Cal_Vente_Ou_Pas</vt:lpstr>
      <vt:lpstr>Cal_Vente_Ou_Pas_Modif</vt:lpstr>
      <vt:lpstr>fact</vt:lpstr>
      <vt:lpstr>Facture</vt:lpstr>
      <vt:lpstr>Facture_selectionnee</vt:lpstr>
      <vt:lpstr>montant_1</vt:lpstr>
      <vt:lpstr>montant_a</vt:lpstr>
      <vt:lpstr>Etat_facture!Print_Area</vt:lpstr>
      <vt:lpstr>prix_1</vt:lpstr>
      <vt:lpstr>prix_a</vt:lpstr>
      <vt:lpstr>quantite_1</vt:lpstr>
      <vt:lpstr>quantite_a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Wissal</dc:creator>
  <cp:lastModifiedBy>ISMAIL KCHIBAL</cp:lastModifiedBy>
  <cp:lastPrinted>2025-07-05T17:59:27Z</cp:lastPrinted>
  <dcterms:created xsi:type="dcterms:W3CDTF">2024-11-27T00:04:19Z</dcterms:created>
  <dcterms:modified xsi:type="dcterms:W3CDTF">2025-07-05T18:01:27Z</dcterms:modified>
</cp:coreProperties>
</file>